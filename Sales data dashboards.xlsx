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client backup\Desktop\Downloads\my\"/>
    </mc:Choice>
  </mc:AlternateContent>
  <xr:revisionPtr revIDLastSave="0" documentId="8_{3639BF9C-4C11-45EA-B12D-DDC6CF0E50B0}" xr6:coauthVersionLast="47" xr6:coauthVersionMax="47" xr10:uidLastSave="{00000000-0000-0000-0000-000000000000}"/>
  <bookViews>
    <workbookView xWindow="-120" yWindow="-120" windowWidth="20730" windowHeight="11040" xr2:uid="{DD175A12-5818-45D2-B892-46B9BE2837CD}"/>
  </bookViews>
  <sheets>
    <sheet name="Sales_Data" sheetId="2" r:id="rId1"/>
    <sheet name="Region revenue" sheetId="3" r:id="rId2"/>
    <sheet name="Yearly sum of revenue" sheetId="4" r:id="rId3"/>
    <sheet name="sum of profit" sheetId="5" r:id="rId4"/>
    <sheet name="sum of revenue" sheetId="6" r:id="rId5"/>
    <sheet name="Average profit margin" sheetId="1" r:id="rId6"/>
    <sheet name="Dashboard" sheetId="8" r:id="rId7"/>
  </sheets>
  <definedNames>
    <definedName name="ExternalData_1" localSheetId="0" hidden="1">Sales_Data!$A$1:$R$501</definedName>
    <definedName name="NativeTimeline_Date">#N/A</definedName>
    <definedName name="Slicer_Region">#N/A</definedName>
  </definedNames>
  <calcPr calcId="191029"/>
  <pivotCaches>
    <pivotCache cacheId="1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 i="8" l="1"/>
  <c r="X3" i="8"/>
  <c r="P7" i="8"/>
  <c r="J7" i="8"/>
  <c r="G7" i="8"/>
  <c r="D7" i="8"/>
  <c r="M7" i="8"/>
  <c r="A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9760CA-0347-4E21-A2CA-613A8604920D}"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<sst xmlns="http://schemas.openxmlformats.org/spreadsheetml/2006/main" count="4586" uniqueCount="646">
  <si>
    <t>Order_ID</t>
  </si>
  <si>
    <t>Date</t>
  </si>
  <si>
    <t>Region</t>
  </si>
  <si>
    <t>City</t>
  </si>
  <si>
    <t>Salesperson</t>
  </si>
  <si>
    <t>Product_Category</t>
  </si>
  <si>
    <t>Product_Name</t>
  </si>
  <si>
    <t>Units_Sold</t>
  </si>
  <si>
    <t>Unit_Price</t>
  </si>
  <si>
    <t>Revenue</t>
  </si>
  <si>
    <t>Discount_%</t>
  </si>
  <si>
    <t>Net_Revenue</t>
  </si>
  <si>
    <t>COGS</t>
  </si>
  <si>
    <t>Profit</t>
  </si>
  <si>
    <t>Profit_Margin_%</t>
  </si>
  <si>
    <t>Customer_Segment</t>
  </si>
  <si>
    <t>Payment_Method</t>
  </si>
  <si>
    <t>Return_Flag</t>
  </si>
  <si>
    <t>ORD-10001</t>
  </si>
  <si>
    <t>North</t>
  </si>
  <si>
    <t>Delhi</t>
  </si>
  <si>
    <t>Sneha Reddy</t>
  </si>
  <si>
    <t>Books &amp; Stationery</t>
  </si>
  <si>
    <t>A4 Notebook Pack</t>
  </si>
  <si>
    <t>Retail</t>
  </si>
  <si>
    <t>Cash on Delivery</t>
  </si>
  <si>
    <t>No</t>
  </si>
  <si>
    <t>ORD-10002</t>
  </si>
  <si>
    <t>Ravi Gupta</t>
  </si>
  <si>
    <t>Clothing</t>
  </si>
  <si>
    <t>Sports T-Shirt</t>
  </si>
  <si>
    <t>Education</t>
  </si>
  <si>
    <t>Net Banking</t>
  </si>
  <si>
    <t>ORD-10003</t>
  </si>
  <si>
    <t>East</t>
  </si>
  <si>
    <t>Kolkata</t>
  </si>
  <si>
    <t>Anjali Patel</t>
  </si>
  <si>
    <t>Kids Dress</t>
  </si>
  <si>
    <t>UPI</t>
  </si>
  <si>
    <t>ORD-10004</t>
  </si>
  <si>
    <t>Office Planner 2024</t>
  </si>
  <si>
    <t>ORD-10005</t>
  </si>
  <si>
    <t>Arun Krishnan</t>
  </si>
  <si>
    <t>Tamil Literature Classic</t>
  </si>
  <si>
    <t>SMB</t>
  </si>
  <si>
    <t>ORD-10006</t>
  </si>
  <si>
    <t>Bhubaneswar</t>
  </si>
  <si>
    <t>Home &amp; Kitchen</t>
  </si>
  <si>
    <t>Induction Cooktop</t>
  </si>
  <si>
    <t>Corporate</t>
  </si>
  <si>
    <t>ORD-10007</t>
  </si>
  <si>
    <t>South</t>
  </si>
  <si>
    <t>Kochi</t>
  </si>
  <si>
    <t>Sanjay Das</t>
  </si>
  <si>
    <t>Beauty &amp; Health</t>
  </si>
  <si>
    <t>Essential Oil Set</t>
  </si>
  <si>
    <t>Credit Card</t>
  </si>
  <si>
    <t>ORD-10008</t>
  </si>
  <si>
    <t>West</t>
  </si>
  <si>
    <t>Ahmedabad</t>
  </si>
  <si>
    <t>Electronics</t>
  </si>
  <si>
    <t>Bluetooth Speaker</t>
  </si>
  <si>
    <t>Government</t>
  </si>
  <si>
    <t>EMI</t>
  </si>
  <si>
    <t>ORD-10009</t>
  </si>
  <si>
    <t>Lakshmi Rao</t>
  </si>
  <si>
    <t>Winter Jacket</t>
  </si>
  <si>
    <t>ORD-10010</t>
  </si>
  <si>
    <t>Denim Jeans</t>
  </si>
  <si>
    <t>ORD-10011</t>
  </si>
  <si>
    <t>ORD-10012</t>
  </si>
  <si>
    <t>Ranchi</t>
  </si>
  <si>
    <t>Pooja Mehta</t>
  </si>
  <si>
    <t>Women's Kurti</t>
  </si>
  <si>
    <t>ORD-10013</t>
  </si>
  <si>
    <t>Agra</t>
  </si>
  <si>
    <t>Arjun Kumar</t>
  </si>
  <si>
    <t>Curtain Pair</t>
  </si>
  <si>
    <t>ORD-10014</t>
  </si>
  <si>
    <t>Mumbai</t>
  </si>
  <si>
    <t>Rahul Nair</t>
  </si>
  <si>
    <t>Sports</t>
  </si>
  <si>
    <t>Cricket Bat</t>
  </si>
  <si>
    <t>ORD-10015</t>
  </si>
  <si>
    <t>Hyderabad</t>
  </si>
  <si>
    <t>Divya Iyer</t>
  </si>
  <si>
    <t>Shampoo 400ml</t>
  </si>
  <si>
    <t>ORD-10016</t>
  </si>
  <si>
    <t>Chennai</t>
  </si>
  <si>
    <t>Laptop Pro 15</t>
  </si>
  <si>
    <t>ORD-10017</t>
  </si>
  <si>
    <t>Coimbatore</t>
  </si>
  <si>
    <t>Running Shoes</t>
  </si>
  <si>
    <t>ORD-10018</t>
  </si>
  <si>
    <t>Python Programming</t>
  </si>
  <si>
    <t>ORD-10019</t>
  </si>
  <si>
    <t>Vitamin C Tablets</t>
  </si>
  <si>
    <t>ORD-10020</t>
  </si>
  <si>
    <t>Bangalore</t>
  </si>
  <si>
    <t>Body Lotion</t>
  </si>
  <si>
    <t>ORD-10021</t>
  </si>
  <si>
    <t>ORD-10022</t>
  </si>
  <si>
    <t>Protein Powder 1kg</t>
  </si>
  <si>
    <t>ORD-10023</t>
  </si>
  <si>
    <t>Meera Joshi</t>
  </si>
  <si>
    <t>Yoga Mat Premium</t>
  </si>
  <si>
    <t>Debit Card</t>
  </si>
  <si>
    <t>ORD-10024</t>
  </si>
  <si>
    <t>Bedsheet Set King</t>
  </si>
  <si>
    <t>ORD-10025</t>
  </si>
  <si>
    <t>Football Size 5</t>
  </si>
  <si>
    <t>ORD-10026</t>
  </si>
  <si>
    <t>Suresh Babu</t>
  </si>
  <si>
    <t>Data Science Handbook</t>
  </si>
  <si>
    <t>ORD-10027</t>
  </si>
  <si>
    <t>Air Fryer</t>
  </si>
  <si>
    <t>ORD-10028</t>
  </si>
  <si>
    <t>Art Sketch Book</t>
  </si>
  <si>
    <t>ORD-10029</t>
  </si>
  <si>
    <t>Nagpur</t>
  </si>
  <si>
    <t>Priya Sharma</t>
  </si>
  <si>
    <t>Smart TV 43inch</t>
  </si>
  <si>
    <t>ORD-10030</t>
  </si>
  <si>
    <t>ORD-10031</t>
  </si>
  <si>
    <t>Business Analytics</t>
  </si>
  <si>
    <t>ORD-10032</t>
  </si>
  <si>
    <t>Pune</t>
  </si>
  <si>
    <t>Water Purifier</t>
  </si>
  <si>
    <t>ORD-10033</t>
  </si>
  <si>
    <t>Karthik Menon</t>
  </si>
  <si>
    <t>ORD-10034</t>
  </si>
  <si>
    <t>Tablet 10inch</t>
  </si>
  <si>
    <t>ORD-10035</t>
  </si>
  <si>
    <t>Guwahati</t>
  </si>
  <si>
    <t>Dumbbells Set 10kg</t>
  </si>
  <si>
    <t>ORD-10036</t>
  </si>
  <si>
    <t>Hair Serum 100ml</t>
  </si>
  <si>
    <t>ORD-10037</t>
  </si>
  <si>
    <t>ORD-10038</t>
  </si>
  <si>
    <t>Vikram Singh</t>
  </si>
  <si>
    <t>ORD-10039</t>
  </si>
  <si>
    <t>ORD-10040</t>
  </si>
  <si>
    <t>Men's Formal Shirt</t>
  </si>
  <si>
    <t>ORD-10041</t>
  </si>
  <si>
    <t>Sunscreen SPF50</t>
  </si>
  <si>
    <t>ORD-10042</t>
  </si>
  <si>
    <t>ORD-10043</t>
  </si>
  <si>
    <t>ORD-10044</t>
  </si>
  <si>
    <t>ORD-10045</t>
  </si>
  <si>
    <t>ORD-10046</t>
  </si>
  <si>
    <t>Surat</t>
  </si>
  <si>
    <t>ORD-10047</t>
  </si>
  <si>
    <t>ORD-10048</t>
  </si>
  <si>
    <t>ORD-10049</t>
  </si>
  <si>
    <t>ORD-10050</t>
  </si>
  <si>
    <t>Lucknow</t>
  </si>
  <si>
    <t>ORD-10051</t>
  </si>
  <si>
    <t>Ethnic Kurta</t>
  </si>
  <si>
    <t>ORD-10052</t>
  </si>
  <si>
    <t>Chandigarh</t>
  </si>
  <si>
    <t>Non-stick Pan Set</t>
  </si>
  <si>
    <t>ORD-10053</t>
  </si>
  <si>
    <t>ORD-10054</t>
  </si>
  <si>
    <t>Resistance Bands</t>
  </si>
  <si>
    <t>ORD-10055</t>
  </si>
  <si>
    <t>ORD-10056</t>
  </si>
  <si>
    <t>Jaipur</t>
  </si>
  <si>
    <t>ORD-10057</t>
  </si>
  <si>
    <t>ORD-10058</t>
  </si>
  <si>
    <t>ORD-10059</t>
  </si>
  <si>
    <t>Premium Pens Set</t>
  </si>
  <si>
    <t>ORD-10060</t>
  </si>
  <si>
    <t>Patna</t>
  </si>
  <si>
    <t>ORD-10061</t>
  </si>
  <si>
    <t>ORD-10062</t>
  </si>
  <si>
    <t>ORD-10063</t>
  </si>
  <si>
    <t>ORD-10064</t>
  </si>
  <si>
    <t>ORD-10065</t>
  </si>
  <si>
    <t>Cycling Gloves</t>
  </si>
  <si>
    <t>ORD-10066</t>
  </si>
  <si>
    <t>Yes</t>
  </si>
  <si>
    <t>ORD-10067</t>
  </si>
  <si>
    <t>ORD-10068</t>
  </si>
  <si>
    <t>ORD-10069</t>
  </si>
  <si>
    <t>Webcam HD</t>
  </si>
  <si>
    <t>ORD-10070</t>
  </si>
  <si>
    <t>Badminton Racket</t>
  </si>
  <si>
    <t>ORD-10071</t>
  </si>
  <si>
    <t>Wireless Headphones</t>
  </si>
  <si>
    <t>ORD-10072</t>
  </si>
  <si>
    <t>ORD-10073</t>
  </si>
  <si>
    <t>ORD-10074</t>
  </si>
  <si>
    <t>ORD-10075</t>
  </si>
  <si>
    <t>ORD-10076</t>
  </si>
  <si>
    <t>ORD-10077</t>
  </si>
  <si>
    <t>ORD-10078</t>
  </si>
  <si>
    <t>ORD-10079</t>
  </si>
  <si>
    <t>ORD-10080</t>
  </si>
  <si>
    <t>ORD-10081</t>
  </si>
  <si>
    <t>ORD-10082</t>
  </si>
  <si>
    <t>ORD-10083</t>
  </si>
  <si>
    <t>ORD-10084</t>
  </si>
  <si>
    <t>Pressure Cooker 5L</t>
  </si>
  <si>
    <t>ORD-10085</t>
  </si>
  <si>
    <t>Gaming Console</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</si>
  <si>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</si>
  <si>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</si>
  <si>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</si>
  <si>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</si>
  <si>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</si>
  <si>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</si>
  <si>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</si>
  <si>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</si>
  <si>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</si>
  <si>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</si>
  <si>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</si>
  <si>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</si>
  <si>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</si>
  <si>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</si>
  <si>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</si>
  <si>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</si>
  <si>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</si>
  <si>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</si>
  <si>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</si>
  <si>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</si>
  <si>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</si>
  <si>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</si>
  <si>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</si>
  <si>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</si>
  <si>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</si>
  <si>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Mixer Grinder</t>
  </si>
  <si>
    <t>ORD-10111</t>
  </si>
  <si>
    <t>ORD-10112</t>
  </si>
  <si>
    <t>ORD-10113</t>
  </si>
  <si>
    <t>ORD-10114</t>
  </si>
  <si>
    <t>Face Moisturizer SPF</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</si>
  <si>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</si>
  <si>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</si>
  <si>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</si>
  <si>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</si>
  <si>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</si>
  <si>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</si>
  <si>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</si>
  <si>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</si>
  <si>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</si>
  <si>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</si>
  <si>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</si>
  <si>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</si>
  <si>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</si>
  <si>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</si>
  <si>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</si>
  <si>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</si>
  <si>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</si>
  <si>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</si>
  <si>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</si>
  <si>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</si>
  <si>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</si>
  <si>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</si>
  <si>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</si>
  <si>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</si>
  <si>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</si>
  <si>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</si>
  <si>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</si>
  <si>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</si>
  <si>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</si>
  <si>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</si>
  <si>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</si>
  <si>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</si>
  <si>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</si>
  <si>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</si>
  <si>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</si>
  <si>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</si>
  <si>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</si>
  <si>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</si>
  <si>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</si>
  <si>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</si>
  <si>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</si>
  <si>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</si>
  <si>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</si>
  <si>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</si>
  <si>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</si>
  <si>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</si>
  <si>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</si>
  <si>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</si>
  <si>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</si>
  <si>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</si>
  <si>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</si>
  <si>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</si>
  <si>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</si>
  <si>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</si>
  <si>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</si>
  <si>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</si>
  <si>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</si>
  <si>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</si>
  <si>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</si>
  <si>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</si>
  <si>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</si>
  <si>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</si>
  <si>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</si>
  <si>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</si>
  <si>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</si>
  <si>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</si>
  <si>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</si>
  <si>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</si>
  <si>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</si>
  <si>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</si>
  <si>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</si>
  <si>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</si>
  <si>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</si>
  <si>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</si>
  <si>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</si>
  <si>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</si>
  <si>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</si>
  <si>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</si>
  <si>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</si>
  <si>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</si>
  <si>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</si>
  <si>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</si>
  <si>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</si>
  <si>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</si>
  <si>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</si>
  <si>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</si>
  <si>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Saree Cotton</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</si>
  <si>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</si>
  <si>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</si>
  <si>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</si>
  <si>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</si>
  <si>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</si>
  <si>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</si>
  <si>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</si>
  <si>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</si>
  <si>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</si>
  <si>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</si>
  <si>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</si>
  <si>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</si>
  <si>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</si>
  <si>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</si>
  <si>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</si>
  <si>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</si>
  <si>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</si>
  <si>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</si>
  <si>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</si>
  <si>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</si>
  <si>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</si>
  <si>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</si>
  <si>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</si>
  <si>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</si>
  <si>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Smartwatch Series 5</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</si>
  <si>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</si>
  <si>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</si>
  <si>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</si>
  <si>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</si>
  <si>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</si>
  <si>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</si>
  <si>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</si>
  <si>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</si>
  <si>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</si>
  <si>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</si>
  <si>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</si>
  <si>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</si>
  <si>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</si>
  <si>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</si>
  <si>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</si>
  <si>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</si>
  <si>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</si>
  <si>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</si>
  <si>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</si>
  <si>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</si>
  <si>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</si>
  <si>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</si>
  <si>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</si>
  <si>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</si>
  <si>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</si>
  <si>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</si>
  <si>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</si>
  <si>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</si>
  <si>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</si>
  <si>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</si>
  <si>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</si>
  <si>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</si>
  <si>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</si>
  <si>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</si>
  <si>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</si>
  <si>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</si>
  <si>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</si>
  <si>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</si>
  <si>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</si>
  <si>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</si>
  <si>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</si>
  <si>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</si>
  <si>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</si>
  <si>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</si>
  <si>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</si>
  <si>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</si>
  <si>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</si>
  <si>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</si>
  <si>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</si>
  <si>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</si>
  <si>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</si>
  <si>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</si>
  <si>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</si>
  <si>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</si>
  <si>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</si>
  <si>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</si>
  <si>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</si>
  <si>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</si>
  <si>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</si>
  <si>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</si>
  <si>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</si>
  <si>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</si>
  <si>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</si>
  <si>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</si>
  <si>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</si>
  <si>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</si>
  <si>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</si>
  <si>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</si>
  <si>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</si>
  <si>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</si>
  <si>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</si>
  <si>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</si>
  <si>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</si>
  <si>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</si>
  <si>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</si>
  <si>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</si>
  <si>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</si>
  <si>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</si>
  <si>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</si>
  <si>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</si>
  <si>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</si>
  <si>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</si>
  <si>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</si>
  <si>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</si>
  <si>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</si>
  <si>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</si>
  <si>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</si>
  <si>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</si>
  <si>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</si>
  <si>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</si>
  <si>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</si>
  <si>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</si>
  <si>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</si>
  <si>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</si>
  <si>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</si>
  <si>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</si>
  <si>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</si>
  <si>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</si>
  <si>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</si>
  <si>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</si>
  <si>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</si>
  <si>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</si>
  <si>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</si>
  <si>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</si>
  <si>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</si>
  <si>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</si>
  <si>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</si>
  <si>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</si>
  <si>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</si>
  <si>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</si>
  <si>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</si>
  <si>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</si>
  <si>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</si>
  <si>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</si>
  <si>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</si>
  <si>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</si>
  <si>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</si>
  <si>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</si>
  <si>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</si>
  <si>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</si>
  <si>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</si>
  <si>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</si>
  <si>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</si>
  <si>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</si>
  <si>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</si>
  <si>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</si>
  <si>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</si>
  <si>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</si>
  <si>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</si>
  <si>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</si>
  <si>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</si>
  <si>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</si>
  <si>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</si>
  <si>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</si>
  <si>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</si>
  <si>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</si>
  <si>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</si>
  <si>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</si>
  <si>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</si>
  <si>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</si>
  <si>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</si>
  <si>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</si>
  <si>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</si>
  <si>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</si>
  <si>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</si>
  <si>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</si>
  <si>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</si>
  <si>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</si>
  <si>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</si>
  <si>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</si>
  <si>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</si>
  <si>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</si>
  <si>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</si>
  <si>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</si>
  <si>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</si>
  <si>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</si>
  <si>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</si>
  <si>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</si>
  <si>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</si>
  <si>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</si>
  <si>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</si>
  <si>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</si>
  <si>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</si>
  <si>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</si>
  <si>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</si>
  <si>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</si>
  <si>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</si>
  <si>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</si>
  <si>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</si>
  <si>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</si>
  <si>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</si>
  <si>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</si>
  <si>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</si>
  <si>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</si>
  <si>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</si>
  <si>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</si>
  <si>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</si>
  <si>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</si>
  <si>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</si>
  <si>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</si>
  <si>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</si>
  <si>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</si>
  <si>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</si>
  <si>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</si>
  <si>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</si>
  <si>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</si>
  <si>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</si>
  <si>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</si>
  <si>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</si>
  <si>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</si>
  <si>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</si>
  <si>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</si>
  <si>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</si>
  <si>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</si>
  <si>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</si>
  <si>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</si>
  <si>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</si>
  <si>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</si>
  <si>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</si>
  <si>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</si>
  <si>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</si>
  <si>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</si>
  <si>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</si>
  <si>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</si>
  <si>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</si>
  <si>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</si>
  <si>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</si>
  <si>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</si>
  <si>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</si>
  <si>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</si>
  <si>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</si>
  <si>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</si>
  <si>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</si>
  <si>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</si>
  <si>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</si>
  <si>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</si>
  <si>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</si>
  <si>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</si>
  <si>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</si>
  <si>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</si>
  <si>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</si>
  <si>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</si>
  <si>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</si>
  <si>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</si>
  <si>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</si>
  <si>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</si>
  <si>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</si>
  <si>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</si>
  <si>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</si>
  <si>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</si>
  <si>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</si>
  <si>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</si>
  <si>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</si>
  <si>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</si>
  <si>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</si>
  <si>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</si>
  <si>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</si>
  <si>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</si>
  <si>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</si>
  <si>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</si>
  <si>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</si>
  <si>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</si>
  <si>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</si>
  <si>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</si>
  <si>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</si>
  <si>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</si>
  <si>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</si>
  <si>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</si>
  <si>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</si>
  <si>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</si>
  <si>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</si>
  <si>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</si>
  <si>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</si>
  <si>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</si>
  <si>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</si>
  <si>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</si>
  <si>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</si>
  <si>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</si>
  <si>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</si>
  <si>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</si>
  <si>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</si>
  <si>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</si>
  <si>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</si>
  <si>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</si>
  <si>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</si>
  <si>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</si>
  <si>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</si>
  <si>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</si>
  <si>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</si>
  <si>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</si>
  <si>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</si>
  <si>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</si>
  <si>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</si>
  <si>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</si>
  <si>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</si>
  <si>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</si>
  <si>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Row Labels</t>
  </si>
  <si>
    <t>Grand Total</t>
  </si>
  <si>
    <t>Sum of Revenue</t>
  </si>
  <si>
    <t>Average of Profit_Margin_%</t>
  </si>
  <si>
    <t>2023</t>
  </si>
  <si>
    <t>Apr</t>
  </si>
  <si>
    <t>May</t>
  </si>
  <si>
    <t>Jun</t>
  </si>
  <si>
    <t>Sum of Net_Revenue</t>
  </si>
  <si>
    <t>Sum of Profit</t>
  </si>
  <si>
    <t>Sum of Units_Sold</t>
  </si>
  <si>
    <t>SALES DATA DASHBOARD -2026</t>
  </si>
  <si>
    <t>Total revenue</t>
  </si>
  <si>
    <t>Total profit</t>
  </si>
  <si>
    <t xml:space="preserve"> </t>
  </si>
  <si>
    <t>Total net revenue</t>
  </si>
  <si>
    <t>Total orders</t>
  </si>
  <si>
    <t>Avg profit margin</t>
  </si>
  <si>
    <t>Count of returns</t>
  </si>
  <si>
    <t>Best  category</t>
  </si>
  <si>
    <t xml:space="preserve">   </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</si>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</sst>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5" formatCode="&quot;₹&quot;\ #,##0.00"/>
    <numFmt numFmtId="166" formatCode="[$$-409]#,##0.00"/>
    <numFmt numFmtId="170" formatCode="_ * #,##0_ ;_ * \-#,##0_ ;_ * &quot;-&quot;??_ ;_ @_ "/>
    <numFmt numFmtId="173" formatCode="[$$-409]#,##0"/>
  </numFmts>
  <fonts count="9" x14ac:knownFonts="1">
    <font>
      <sz val="11"/>
      <color theme="1"/>
      <name val="Calibri"/>
      <family val="2"/>
      <scheme val="minor"/>
    </font>
    <font>
      <sz val="11"/>
      <color theme="1"/>
      <name val="Calibri"/>
      <family val="2"/>
      <scheme val="minor"/>
    </font>
    <font>
      <sz val="11"/>
      <color theme="5"/>
      <name val="Calibri"/>
      <family val="2"/>
      <scheme val="minor"/>
    </font>
    <font>
      <sz val="11"/>
      <color theme="1"/>
      <name val="Arial"/>
      <family val="2"/>
    </font>
    <font>
      <b/>
      <sz val="11"/>
      <color theme="1"/>
      <name val="Arial"/>
      <family val="2"/>
    </font>
    <font>
      <b/>
      <sz val="20"/>
      <color theme="0"/>
      <name val="Calibri"/>
      <family val="2"/>
      <scheme val="minor"/>
    </font>
    <font>
      <b/>
      <sz val="48"/>
      <color theme="0"/>
      <name val="Calibri"/>
      <family val="2"/>
      <scheme val="minor"/>
    </font>
    <font>
      <sz val="8"/>
      <name val="Calibri"/>
      <family val="2"/>
      <scheme val="minor"/>
    </font>
    <font>
      <sz val="16"/>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79998168889431442"/>
        <bgColor theme="7" tint="0.79998168889431442"/>
      </patternFill>
    </fill>
    <fill>
      <patternFill patternType="solid">
        <fgColor rgb="FF00B0F0"/>
        <bgColor indexed="64"/>
      </patternFill>
    </fill>
    <fill>
      <patternFill patternType="solid">
        <fgColor theme="4" tint="0.59999389629810485"/>
        <bgColor indexed="64"/>
      </patternFill>
    </fill>
    <fill>
      <patternFill patternType="solid">
        <fgColor theme="7" tint="0.79998168889431442"/>
        <bgColor indexed="64"/>
      </patternFill>
    </fill>
  </fills>
  <borders count="2">
    <border>
      <left/>
      <right/>
      <top/>
      <bottom/>
      <diagonal/>
    </border>
    <border>
      <left/>
      <right/>
      <top style="thin">
        <color theme="7" tint="0.39997558519241921"/>
      </top>
      <bottom style="thin">
        <color theme="7" tint="0.39997558519241921"/>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0" fontId="0" fillId="0" borderId="0" xfId="0" applyNumberFormat="1"/>
    <xf numFmtId="14" fontId="0" fillId="0" borderId="0" xfId="0" applyNumberFormat="1"/>
    <xf numFmtId="165" fontId="0" fillId="0" borderId="0" xfId="0" applyNumberFormat="1"/>
    <xf numFmtId="166" fontId="0" fillId="0" borderId="0" xfId="0" applyNumberFormat="1"/>
    <xf numFmtId="10" fontId="0" fillId="0" borderId="0" xfId="0" applyNumberFormat="1"/>
    <xf numFmtId="43" fontId="0" fillId="0" borderId="0" xfId="1" applyFont="1"/>
    <xf numFmtId="170" fontId="0" fillId="0" borderId="0" xfId="1" applyNumberFormat="1" applyFont="1"/>
    <xf numFmtId="0" fontId="0" fillId="0" borderId="0" xfId="0" pivotButton="1"/>
    <xf numFmtId="0" fontId="0" fillId="0" borderId="0" xfId="0" applyAlignment="1">
      <alignment horizontal="left"/>
    </xf>
    <xf numFmtId="44" fontId="0" fillId="0" borderId="0" xfId="0" applyNumberFormat="1"/>
    <xf numFmtId="44" fontId="0" fillId="2" borderId="0" xfId="0" applyNumberFormat="1" applyFill="1"/>
    <xf numFmtId="43" fontId="0" fillId="0" borderId="0" xfId="0" applyNumberFormat="1"/>
    <xf numFmtId="43" fontId="0" fillId="2" borderId="0" xfId="0" applyNumberFormat="1" applyFill="1"/>
    <xf numFmtId="0" fontId="0" fillId="0" borderId="0" xfId="0" applyAlignment="1">
      <alignment horizontal="left" indent="1"/>
    </xf>
    <xf numFmtId="10" fontId="0" fillId="2" borderId="0" xfId="0" applyNumberFormat="1" applyFill="1"/>
    <xf numFmtId="0" fontId="0" fillId="2" borderId="0" xfId="0" applyNumberFormat="1" applyFill="1"/>
    <xf numFmtId="0" fontId="2" fillId="0" borderId="0" xfId="0" applyFont="1"/>
    <xf numFmtId="0" fontId="3" fillId="0" borderId="0" xfId="0" applyFont="1"/>
    <xf numFmtId="0" fontId="0" fillId="0" borderId="0" xfId="0" applyNumberFormat="1" applyFont="1"/>
    <xf numFmtId="0" fontId="4" fillId="0" borderId="0" xfId="0" applyFont="1"/>
    <xf numFmtId="14" fontId="4" fillId="0" borderId="0" xfId="0" applyNumberFormat="1" applyFont="1"/>
    <xf numFmtId="2" fontId="4" fillId="0" borderId="0" xfId="0" applyNumberFormat="1" applyFont="1"/>
    <xf numFmtId="166" fontId="4" fillId="0" borderId="0" xfId="0" applyNumberFormat="1" applyFont="1"/>
    <xf numFmtId="170" fontId="4" fillId="0" borderId="0" xfId="1" applyNumberFormat="1" applyFont="1"/>
    <xf numFmtId="43" fontId="4" fillId="0" borderId="0" xfId="1" applyFont="1"/>
    <xf numFmtId="166" fontId="0" fillId="0" borderId="0" xfId="0" applyNumberFormat="1" applyFill="1" applyAlignment="1"/>
    <xf numFmtId="0" fontId="0" fillId="0" borderId="0" xfId="0" applyFill="1" applyAlignment="1"/>
    <xf numFmtId="166" fontId="5" fillId="4" borderId="0" xfId="0" applyNumberFormat="1" applyFont="1" applyFill="1" applyAlignment="1">
      <alignment horizontal="center"/>
    </xf>
    <xf numFmtId="0" fontId="6" fillId="4" borderId="0" xfId="0" applyFont="1" applyFill="1" applyAlignment="1">
      <alignment horizontal="center"/>
    </xf>
    <xf numFmtId="0" fontId="0" fillId="4" borderId="0" xfId="0" applyFill="1" applyAlignment="1">
      <alignment horizontal="center"/>
    </xf>
    <xf numFmtId="4" fontId="5" fillId="4" borderId="0" xfId="0" applyNumberFormat="1" applyFont="1" applyFill="1" applyAlignment="1">
      <alignment horizontal="center"/>
    </xf>
    <xf numFmtId="3" fontId="5" fillId="4" borderId="0" xfId="0" applyNumberFormat="1" applyFont="1" applyFill="1" applyAlignment="1">
      <alignment horizontal="center"/>
    </xf>
    <xf numFmtId="0" fontId="6" fillId="4" borderId="0" xfId="0" applyFont="1" applyFill="1" applyAlignment="1">
      <alignment horizontal="right"/>
    </xf>
    <xf numFmtId="0" fontId="0" fillId="4" borderId="0" xfId="0" applyFill="1" applyAlignment="1">
      <alignment horizontal="right"/>
    </xf>
    <xf numFmtId="173" fontId="5" fillId="4" borderId="0" xfId="0" applyNumberFormat="1" applyFont="1" applyFill="1" applyAlignment="1">
      <alignment horizontal="center"/>
    </xf>
    <xf numFmtId="0" fontId="8" fillId="5" borderId="0" xfId="0" applyFont="1" applyFill="1" applyAlignment="1">
      <alignment horizontal="center"/>
    </xf>
    <xf numFmtId="0" fontId="8" fillId="6" borderId="0" xfId="0" applyFont="1" applyFill="1" applyAlignment="1">
      <alignment horizontal="center"/>
    </xf>
    <xf numFmtId="0" fontId="0" fillId="3" borderId="1" xfId="0" applyNumberFormat="1" applyFont="1" applyFill="1" applyBorder="1"/>
    <xf numFmtId="165" fontId="0" fillId="2" borderId="0" xfId="0" applyNumberFormat="1" applyFont="1" applyFill="1"/>
  </cellXfs>
  <cellStyles count="2">
    <cellStyle name="Comma" xfId="1" builtinId="3"/>
    <cellStyle name="Normal" xfId="0" builtinId="0"/>
  </cellStyles>
  <dxfs count="270">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34" formatCode="_ &quot;₹&quot;\ * #,##0.00_ ;_ &quot;₹&quot;\ * \-#,##0.00_ ;_ &quot;₹&quot;\ * &quot;-&quot;??_ ;_ @_ "/>
    </dxf>
    <dxf>
      <font>
        <color rgb="FF006100"/>
      </font>
      <fill>
        <patternFill>
          <bgColor rgb="FFC6EFCE"/>
        </patternFill>
      </fill>
    </dxf>
    <dxf>
      <font>
        <b/>
        <strike val="0"/>
        <outline val="0"/>
        <shadow val="0"/>
        <u val="none"/>
        <vertAlign val="baseline"/>
        <sz val="11"/>
        <color theme="1"/>
        <name val="Arial"/>
        <family val="2"/>
        <scheme val="none"/>
      </font>
    </dxf>
    <dxf>
      <numFmt numFmtId="166" formatCode="[$$-409]#,##0.00"/>
    </dxf>
    <dxf>
      <numFmt numFmtId="166" formatCode="[$$-409]#,##0.00"/>
    </dxf>
    <dxf>
      <numFmt numFmtId="0" formatCode="General"/>
    </dxf>
    <dxf>
      <numFmt numFmtId="166" formatCode="[$$-409]#,##0.00"/>
    </dxf>
    <dxf>
      <numFmt numFmtId="166" formatCode="[$$-409]#,##0.00"/>
    </dxf>
    <dxf>
      <numFmt numFmtId="166" formatCode="[$$-409]#,##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056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dashboards.xlsx]sum of revenue!PivotTable7</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05591028394178"/>
          <c:y val="0.3045285860687556"/>
          <c:w val="0.40161255600625673"/>
          <c:h val="0.6682291769594958"/>
        </c:manualLayout>
      </c:layout>
      <c:doughnutChart>
        <c:varyColors val="1"/>
        <c:ser>
          <c:idx val="0"/>
          <c:order val="0"/>
          <c:tx>
            <c:strRef>
              <c:f>'sum of revenue'!$F$19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AA-4E61-A67D-4ECF67C006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AA-4E61-A67D-4ECF67C006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AA-4E61-A67D-4ECF67C006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AA-4E61-A67D-4ECF67C006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AA-4E61-A67D-4ECF67C006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CAA-4E61-A67D-4ECF67C006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'sum of revenue'!$E$20:$E$26</c:f>
              <c:strCache>
                <c:ptCount val="6"/>
                <c:pt idx="0">
                  <c:v>Cash on Delivery</c:v>
                </c:pt>
                <c:pt idx="1">
                  <c:v>Credit Card</c:v>
                </c:pt>
                <c:pt idx="2">
                  <c:v>Debit Card</c:v>
                </c:pt>
                <c:pt idx="3">
                  <c:v>EMI</c:v>
                </c:pt>
                <c:pt idx="4">
                  <c:v>Net Banking</c:v>
                </c:pt>
                <c:pt idx="5">
                  <c:v>UPI</c:v>
                </c:pt>
              </c:strCache>
            </c:strRef>
          </c:cat>
          <c:val>
            <c:numRef>
              <c:f>'sum of revenue'!$F$20:$F$26</c:f>
              <c:numCache>
                <c:formatCode>"₹"\ #,##0.00</c:formatCode>
                <c:ptCount val="6"/>
                <c:pt idx="0">
                  <c:v>145505.5</c:v>
                </c:pt>
                <c:pt idx="1">
                  <c:v>1118113.78</c:v>
                </c:pt>
                <c:pt idx="2">
                  <c:v>1075646.3399999999</c:v>
                </c:pt>
                <c:pt idx="3">
                  <c:v>76160.290000000008</c:v>
                </c:pt>
                <c:pt idx="4">
                  <c:v>54913.04</c:v>
                </c:pt>
                <c:pt idx="5">
                  <c:v>13780.71</c:v>
                </c:pt>
              </c:numCache>
            </c:numRef>
          </c:val>
          <c:extLst>
            <c:ext xmlns:c16="http://schemas.microsoft.com/office/drawing/2014/chart" uri="{C3380CC4-5D6E-409C-BE32-E72D297353CC}">
              <c16:uniqueId val="{0000000C-2CAA-4E61-A67D-4ECF67C0068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dashboards.xlsx]Region revenue!PivotTable1</c:name>
    <c:fmtId val="15"/>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Revenue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revenue'!$A$4:$A$5</c:f>
              <c:strCache>
                <c:ptCount val="1"/>
                <c:pt idx="0">
                  <c:v>North</c:v>
                </c:pt>
              </c:strCache>
            </c:strRef>
          </c:cat>
          <c:val>
            <c:numRef>
              <c:f>'Region revenue'!$B$4:$B$5</c:f>
              <c:numCache>
                <c:formatCode>_("₹"* #,##0.00_);_("₹"* \(#,##0.00\);_("₹"* "-"??_);_(@_)</c:formatCode>
                <c:ptCount val="1"/>
                <c:pt idx="0">
                  <c:v>2484119.66</c:v>
                </c:pt>
              </c:numCache>
            </c:numRef>
          </c:val>
          <c:extLst>
            <c:ext xmlns:c16="http://schemas.microsoft.com/office/drawing/2014/chart" uri="{C3380CC4-5D6E-409C-BE32-E72D297353CC}">
              <c16:uniqueId val="{00000000-31FD-4EAE-BD1B-BBDB903AC599}"/>
            </c:ext>
          </c:extLst>
        </c:ser>
        <c:dLbls>
          <c:dLblPos val="ctr"/>
          <c:showLegendKey val="0"/>
          <c:showVal val="1"/>
          <c:showCatName val="0"/>
          <c:showSerName val="0"/>
          <c:showPercent val="0"/>
          <c:showBubbleSize val="0"/>
        </c:dLbls>
        <c:gapWidth val="150"/>
        <c:overlap val="100"/>
        <c:axId val="423094127"/>
        <c:axId val="423100367"/>
      </c:barChart>
      <c:catAx>
        <c:axId val="4230941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3100367"/>
        <c:crosses val="autoZero"/>
        <c:auto val="1"/>
        <c:lblAlgn val="ctr"/>
        <c:lblOffset val="100"/>
        <c:noMultiLvlLbl val="0"/>
      </c:catAx>
      <c:valAx>
        <c:axId val="423100367"/>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423094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dashboards.xlsx]Average profit margin!PivotTable6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of Product 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'Average profit margin'!$C$6</c:f>
              <c:strCache>
                <c:ptCount val="1"/>
                <c:pt idx="0">
                  <c:v>Total</c:v>
                </c:pt>
              </c:strCache>
            </c:strRef>
          </c:tx>
          <c:explosion val="9"/>
          <c:dPt>
            <c:idx val="0"/>
            <c:bubble3D val="0"/>
            <c:explosion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1E-4FE2-9319-0C1159615C92}"/>
              </c:ext>
            </c:extLst>
          </c:dPt>
          <c:dPt>
            <c:idx val="1"/>
            <c:bubble3D val="0"/>
            <c:explosion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1E-4FE2-9319-0C1159615C92}"/>
              </c:ext>
            </c:extLst>
          </c:dPt>
          <c:dPt>
            <c:idx val="2"/>
            <c:bubble3D val="0"/>
            <c:explosion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1E-4FE2-9319-0C1159615C92}"/>
              </c:ext>
            </c:extLst>
          </c:dPt>
          <c:dPt>
            <c:idx val="3"/>
            <c:bubble3D val="0"/>
            <c:explosion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F1E-4FE2-9319-0C1159615C92}"/>
              </c:ext>
            </c:extLst>
          </c:dPt>
          <c:dPt>
            <c:idx val="4"/>
            <c:bubble3D val="0"/>
            <c:explosion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F1E-4FE2-9319-0C1159615C92}"/>
              </c:ext>
            </c:extLst>
          </c:dPt>
          <c:dPt>
            <c:idx val="5"/>
            <c:bubble3D val="0"/>
            <c:explosion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F1E-4FE2-9319-0C1159615C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'Average profit margin'!$B$7:$B$13</c:f>
              <c:strCache>
                <c:ptCount val="6"/>
                <c:pt idx="0">
                  <c:v>Beauty &amp; Health</c:v>
                </c:pt>
                <c:pt idx="1">
                  <c:v>Clothing</c:v>
                </c:pt>
                <c:pt idx="2">
                  <c:v>Home &amp; Kitchen</c:v>
                </c:pt>
                <c:pt idx="3">
                  <c:v>Books &amp; Stationery</c:v>
                </c:pt>
                <c:pt idx="4">
                  <c:v>Sports</c:v>
                </c:pt>
                <c:pt idx="5">
                  <c:v>Electronics</c:v>
                </c:pt>
              </c:strCache>
            </c:strRef>
          </c:cat>
          <c:val>
            <c:numRef>
              <c:f>'Average profit margin'!$C$7:$C$13</c:f>
              <c:numCache>
                <c:formatCode>_(* #,##0.00_);_(* \(#,##0.00\);_(* "-"??_);_(@_)</c:formatCode>
                <c:ptCount val="6"/>
                <c:pt idx="0">
                  <c:v>54.699999999999996</c:v>
                </c:pt>
                <c:pt idx="1">
                  <c:v>49.376666666666665</c:v>
                </c:pt>
                <c:pt idx="2">
                  <c:v>48.84</c:v>
                </c:pt>
                <c:pt idx="3">
                  <c:v>42.718000000000004</c:v>
                </c:pt>
                <c:pt idx="4">
                  <c:v>38.65</c:v>
                </c:pt>
                <c:pt idx="5">
                  <c:v>38.19</c:v>
                </c:pt>
              </c:numCache>
            </c:numRef>
          </c:val>
          <c:extLst>
            <c:ext xmlns:c16="http://schemas.microsoft.com/office/drawing/2014/chart" uri="{C3380CC4-5D6E-409C-BE32-E72D297353CC}">
              <c16:uniqueId val="{0000000C-5F1E-4FE2-9319-0C1159615C9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4916119860017494"/>
          <c:y val="0.4307622484689414"/>
          <c:w val="0.24250546806649168"/>
          <c:h val="0.536019612131816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dashboards.xlsx]Yearly sum of revenue!PivotTable3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sum of revenue'!$B$3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multiLvlStrRef>
              <c:f>'Yearly sum of revenue'!$A$4:$A$8</c:f>
              <c:multiLvlStrCache>
                <c:ptCount val="3"/>
                <c:lvl>
                  <c:pt idx="0">
                    <c:v>Apr</c:v>
                  </c:pt>
                  <c:pt idx="1">
                    <c:v>May</c:v>
                  </c:pt>
                  <c:pt idx="2">
                    <c:v>Jun</c:v>
                  </c:pt>
                </c:lvl>
                <c:lvl>
                  <c:pt idx="0">
                    <c:v>2023</c:v>
                  </c:pt>
                </c:lvl>
              </c:multiLvlStrCache>
            </c:multiLvlStrRef>
          </c:cat>
          <c:val>
            <c:numRef>
              <c:f>'Yearly sum of revenue'!$B$4:$B$8</c:f>
              <c:numCache>
                <c:formatCode>[$$-409]#,##0.00</c:formatCode>
                <c:ptCount val="3"/>
                <c:pt idx="0">
                  <c:v>1474151.88</c:v>
                </c:pt>
                <c:pt idx="1">
                  <c:v>861602.41</c:v>
                </c:pt>
                <c:pt idx="2">
                  <c:v>148365.37</c:v>
                </c:pt>
              </c:numCache>
            </c:numRef>
          </c:val>
          <c:smooth val="0"/>
          <c:extLst>
            <c:ext xmlns:c16="http://schemas.microsoft.com/office/drawing/2014/chart" uri="{C3380CC4-5D6E-409C-BE32-E72D297353CC}">
              <c16:uniqueId val="{00000001-6E59-4436-BFF6-2C0C2F7ECEB7}"/>
            </c:ext>
          </c:extLst>
        </c:ser>
        <c:dLbls>
          <c:dLblPos val="ctr"/>
          <c:showLegendKey val="0"/>
          <c:showVal val="1"/>
          <c:showCatName val="0"/>
          <c:showSerName val="0"/>
          <c:showPercent val="0"/>
          <c:showBubbleSize val="0"/>
        </c:dLbls>
        <c:marker val="1"/>
        <c:smooth val="0"/>
        <c:axId val="187960127"/>
        <c:axId val="187951967"/>
      </c:lineChart>
      <c:catAx>
        <c:axId val="187960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951967"/>
        <c:crosses val="autoZero"/>
        <c:auto val="1"/>
        <c:lblAlgn val="ctr"/>
        <c:lblOffset val="100"/>
        <c:noMultiLvlLbl val="0"/>
      </c:catAx>
      <c:valAx>
        <c:axId val="1879519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87960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dashboards.xlsx]sum of profit!PivotTable4</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performer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profit'!$B$3</c:f>
              <c:strCache>
                <c:ptCount val="1"/>
                <c:pt idx="0">
                  <c:v>Sum of Net_Revenue</c:v>
                </c:pt>
              </c:strCache>
            </c:strRef>
          </c:tx>
          <c:spPr>
            <a:solidFill>
              <a:schemeClr val="accent1">
                <a:alpha val="85000"/>
              </a:schemeClr>
            </a:solidFill>
            <a:ln w="9525" cap="flat" cmpd="sng" algn="ctr">
              <a:solidFill>
                <a:schemeClr val="lt1">
                  <a:alpha val="50000"/>
                </a:schemeClr>
              </a:solidFill>
              <a:round/>
            </a:ln>
            <a:effectLst/>
          </c:spPr>
          <c:invertIfNegative val="0"/>
          <c:cat>
            <c:strRef>
              <c:f>'sum of profit'!$A$4:$A$14</c:f>
              <c:strCache>
                <c:ptCount val="10"/>
                <c:pt idx="0">
                  <c:v>Pooja Mehta</c:v>
                </c:pt>
                <c:pt idx="1">
                  <c:v>Lakshmi Rao</c:v>
                </c:pt>
                <c:pt idx="2">
                  <c:v>Karthik Menon</c:v>
                </c:pt>
                <c:pt idx="3">
                  <c:v>Rahul Nair</c:v>
                </c:pt>
                <c:pt idx="4">
                  <c:v>Sneha Reddy</c:v>
                </c:pt>
                <c:pt idx="5">
                  <c:v>Priya Sharma</c:v>
                </c:pt>
                <c:pt idx="6">
                  <c:v>Arun Krishnan</c:v>
                </c:pt>
                <c:pt idx="7">
                  <c:v>Vikram Singh</c:v>
                </c:pt>
                <c:pt idx="8">
                  <c:v>Divya Iyer</c:v>
                </c:pt>
                <c:pt idx="9">
                  <c:v>Anjali Patel</c:v>
                </c:pt>
              </c:strCache>
            </c:strRef>
          </c:cat>
          <c:val>
            <c:numRef>
              <c:f>'sum of profit'!$B$4:$B$14</c:f>
              <c:numCache>
                <c:formatCode>[$$-409]#,##0.00</c:formatCode>
                <c:ptCount val="10"/>
                <c:pt idx="0">
                  <c:v>1056393.21</c:v>
                </c:pt>
                <c:pt idx="1">
                  <c:v>651584.35</c:v>
                </c:pt>
                <c:pt idx="2">
                  <c:v>277926.53000000003</c:v>
                </c:pt>
                <c:pt idx="3">
                  <c:v>64747.85</c:v>
                </c:pt>
                <c:pt idx="4">
                  <c:v>40242.06</c:v>
                </c:pt>
                <c:pt idx="5">
                  <c:v>25920.959999999999</c:v>
                </c:pt>
                <c:pt idx="6">
                  <c:v>21721.919999999998</c:v>
                </c:pt>
                <c:pt idx="7">
                  <c:v>34531.19</c:v>
                </c:pt>
                <c:pt idx="8">
                  <c:v>26113.03</c:v>
                </c:pt>
                <c:pt idx="9">
                  <c:v>20036.62</c:v>
                </c:pt>
              </c:numCache>
            </c:numRef>
          </c:val>
          <c:extLst>
            <c:ext xmlns:c16="http://schemas.microsoft.com/office/drawing/2014/chart" uri="{C3380CC4-5D6E-409C-BE32-E72D297353CC}">
              <c16:uniqueId val="{00000000-F280-49ED-A978-69A3D7AB84D3}"/>
            </c:ext>
          </c:extLst>
        </c:ser>
        <c:ser>
          <c:idx val="1"/>
          <c:order val="1"/>
          <c:tx>
            <c:strRef>
              <c:f>'sum of profit'!$C$3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cat>
            <c:strRef>
              <c:f>'sum of profit'!$A$4:$A$14</c:f>
              <c:strCache>
                <c:ptCount val="10"/>
                <c:pt idx="0">
                  <c:v>Pooja Mehta</c:v>
                </c:pt>
                <c:pt idx="1">
                  <c:v>Lakshmi Rao</c:v>
                </c:pt>
                <c:pt idx="2">
                  <c:v>Karthik Menon</c:v>
                </c:pt>
                <c:pt idx="3">
                  <c:v>Rahul Nair</c:v>
                </c:pt>
                <c:pt idx="4">
                  <c:v>Sneha Reddy</c:v>
                </c:pt>
                <c:pt idx="5">
                  <c:v>Priya Sharma</c:v>
                </c:pt>
                <c:pt idx="6">
                  <c:v>Arun Krishnan</c:v>
                </c:pt>
                <c:pt idx="7">
                  <c:v>Vikram Singh</c:v>
                </c:pt>
                <c:pt idx="8">
                  <c:v>Divya Iyer</c:v>
                </c:pt>
                <c:pt idx="9">
                  <c:v>Anjali Patel</c:v>
                </c:pt>
              </c:strCache>
            </c:strRef>
          </c:cat>
          <c:val>
            <c:numRef>
              <c:f>'sum of profit'!$C$4:$C$14</c:f>
              <c:numCache>
                <c:formatCode>[$$-409]#,##0.00</c:formatCode>
                <c:ptCount val="10"/>
                <c:pt idx="0">
                  <c:v>457903</c:v>
                </c:pt>
                <c:pt idx="1">
                  <c:v>268287.23</c:v>
                </c:pt>
                <c:pt idx="2">
                  <c:v>115247.11</c:v>
                </c:pt>
                <c:pt idx="3">
                  <c:v>34847.799999999996</c:v>
                </c:pt>
                <c:pt idx="4">
                  <c:v>21515.96</c:v>
                </c:pt>
                <c:pt idx="5">
                  <c:v>14538.74</c:v>
                </c:pt>
                <c:pt idx="6">
                  <c:v>12342.76</c:v>
                </c:pt>
                <c:pt idx="7">
                  <c:v>11520.32</c:v>
                </c:pt>
                <c:pt idx="8">
                  <c:v>10125.32</c:v>
                </c:pt>
                <c:pt idx="9">
                  <c:v>10006.549999999999</c:v>
                </c:pt>
              </c:numCache>
            </c:numRef>
          </c:val>
          <c:extLst>
            <c:ext xmlns:c16="http://schemas.microsoft.com/office/drawing/2014/chart" uri="{C3380CC4-5D6E-409C-BE32-E72D297353CC}">
              <c16:uniqueId val="{00000001-F280-49ED-A978-69A3D7AB84D3}"/>
            </c:ext>
          </c:extLst>
        </c:ser>
        <c:dLbls>
          <c:dLblPos val="inEnd"/>
          <c:showLegendKey val="0"/>
          <c:showVal val="0"/>
          <c:showCatName val="0"/>
          <c:showSerName val="0"/>
          <c:showPercent val="0"/>
          <c:showBubbleSize val="0"/>
        </c:dLbls>
        <c:gapWidth val="65"/>
        <c:axId val="1839278895"/>
        <c:axId val="1839279855"/>
      </c:barChart>
      <c:catAx>
        <c:axId val="1839278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9279855"/>
        <c:crosses val="autoZero"/>
        <c:auto val="1"/>
        <c:lblAlgn val="ctr"/>
        <c:lblOffset val="100"/>
        <c:noMultiLvlLbl val="0"/>
      </c:catAx>
      <c:valAx>
        <c:axId val="1839279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839278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dashboards.xlsx]sum of revenue!PivotTable7</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of payment methods</a:t>
            </a:r>
          </a:p>
        </c:rich>
      </c:tx>
      <c:layout>
        <c:manualLayout>
          <c:xMode val="edge"/>
          <c:yMode val="edge"/>
          <c:x val="0.26004855643044622"/>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273556430446195"/>
          <c:y val="0.24939596092155147"/>
          <c:w val="0.41147353455818025"/>
          <c:h val="0.68578922426363376"/>
        </c:manualLayout>
      </c:layout>
      <c:doughnutChart>
        <c:varyColors val="1"/>
        <c:ser>
          <c:idx val="0"/>
          <c:order val="0"/>
          <c:tx>
            <c:strRef>
              <c:f>'sum of revenue'!$F$19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EE-41F5-B386-44600FE69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EE-41F5-B386-44600FE69F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EE-41F5-B386-44600FE69F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EE-41F5-B386-44600FE69F5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EE-41F5-B386-44600FE69F5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EE-41F5-B386-44600FE69F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revenue'!$E$20:$E$26</c:f>
              <c:strCache>
                <c:ptCount val="6"/>
                <c:pt idx="0">
                  <c:v>Cash on Delivery</c:v>
                </c:pt>
                <c:pt idx="1">
                  <c:v>Credit Card</c:v>
                </c:pt>
                <c:pt idx="2">
                  <c:v>Debit Card</c:v>
                </c:pt>
                <c:pt idx="3">
                  <c:v>EMI</c:v>
                </c:pt>
                <c:pt idx="4">
                  <c:v>Net Banking</c:v>
                </c:pt>
                <c:pt idx="5">
                  <c:v>UPI</c:v>
                </c:pt>
              </c:strCache>
            </c:strRef>
          </c:cat>
          <c:val>
            <c:numRef>
              <c:f>'sum of revenue'!$F$20:$F$26</c:f>
              <c:numCache>
                <c:formatCode>"₹"\ #,##0.00</c:formatCode>
                <c:ptCount val="6"/>
                <c:pt idx="0">
                  <c:v>145505.5</c:v>
                </c:pt>
                <c:pt idx="1">
                  <c:v>1118113.78</c:v>
                </c:pt>
                <c:pt idx="2">
                  <c:v>1075646.3399999999</c:v>
                </c:pt>
                <c:pt idx="3">
                  <c:v>76160.290000000008</c:v>
                </c:pt>
                <c:pt idx="4">
                  <c:v>54913.04</c:v>
                </c:pt>
                <c:pt idx="5">
                  <c:v>13780.71</c:v>
                </c:pt>
              </c:numCache>
            </c:numRef>
          </c:val>
          <c:extLst>
            <c:ext xmlns:c16="http://schemas.microsoft.com/office/drawing/2014/chart" uri="{C3380CC4-5D6E-409C-BE32-E72D297353CC}">
              <c16:uniqueId val="{0000000C-CFEE-41F5-B386-44600FE69F5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2.sv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185737</xdr:rowOff>
    </xdr:from>
    <xdr:to>
      <xdr:col>4</xdr:col>
      <xdr:colOff>800100</xdr:colOff>
      <xdr:row>53</xdr:row>
      <xdr:rowOff>161925</xdr:rowOff>
    </xdr:to>
    <xdr:graphicFrame macro="">
      <xdr:nvGraphicFramePr>
        <xdr:cNvPr id="6" name="Chart 3">
          <a:extLst>
            <a:ext uri="{FF2B5EF4-FFF2-40B4-BE49-F238E27FC236}">
              <a16:creationId xmlns:a16="http://schemas.microsoft.com/office/drawing/2014/main" id="{D9F86A4E-79EC-F4FD-B266-A5EC31AAF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57150</xdr:rowOff>
    </xdr:from>
    <xdr:to>
      <xdr:col>8</xdr:col>
      <xdr:colOff>45719</xdr:colOff>
      <xdr:row>21</xdr:row>
      <xdr:rowOff>102869</xdr:rowOff>
    </xdr:to>
    <xdr:sp macro="" textlink="">
      <xdr:nvSpPr>
        <xdr:cNvPr id="8" name="TextBox 7">
          <a:extLst>
            <a:ext uri="{FF2B5EF4-FFF2-40B4-BE49-F238E27FC236}">
              <a16:creationId xmlns:a16="http://schemas.microsoft.com/office/drawing/2014/main" id="{B2007832-B1BA-BB17-BB23-4973D7FE1200}"/>
            </a:ext>
          </a:extLst>
        </xdr:cNvPr>
        <xdr:cNvSpPr txBox="1"/>
      </xdr:nvSpPr>
      <xdr:spPr>
        <a:xfrm>
          <a:off x="7229475" y="405765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0.25</cdr:x>
      <cdr:y>0.52604</cdr:y>
    </cdr:from>
    <cdr:to>
      <cdr:x>0.5125</cdr:x>
      <cdr:y>0.67882</cdr:y>
    </cdr:to>
    <cdr:sp macro="" textlink="">
      <cdr:nvSpPr>
        <cdr:cNvPr id="2" name="TextBox 1">
          <a:extLst xmlns:a="http://schemas.openxmlformats.org/drawingml/2006/main">
            <a:ext uri="{FF2B5EF4-FFF2-40B4-BE49-F238E27FC236}">
              <a16:creationId xmlns:a16="http://schemas.microsoft.com/office/drawing/2014/main" id="{1C5706D8-D3F7-2415-F23C-CB70790A27B1}"/>
            </a:ext>
          </a:extLst>
        </cdr:cNvPr>
        <cdr:cNvSpPr txBox="1"/>
      </cdr:nvSpPr>
      <cdr:spPr>
        <a:xfrm xmlns:a="http://schemas.openxmlformats.org/drawingml/2006/main">
          <a:off x="1143000" y="1443038"/>
          <a:ext cx="1200150"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0.28333</cdr:x>
      <cdr:y>0.48785</cdr:y>
    </cdr:from>
    <cdr:to>
      <cdr:x>0.51458</cdr:x>
      <cdr:y>0.71701</cdr:y>
    </cdr:to>
    <cdr:sp macro="" textlink="">
      <cdr:nvSpPr>
        <cdr:cNvPr id="3" name="TextBox 2">
          <a:extLst xmlns:a="http://schemas.openxmlformats.org/drawingml/2006/main">
            <a:ext uri="{FF2B5EF4-FFF2-40B4-BE49-F238E27FC236}">
              <a16:creationId xmlns:a16="http://schemas.microsoft.com/office/drawing/2014/main" id="{4196EBFD-510B-AD6D-CF72-6E53DABA1733}"/>
            </a:ext>
          </a:extLst>
        </cdr:cNvPr>
        <cdr:cNvSpPr txBox="1"/>
      </cdr:nvSpPr>
      <cdr:spPr>
        <a:xfrm xmlns:a="http://schemas.openxmlformats.org/drawingml/2006/main">
          <a:off x="1295400" y="1338263"/>
          <a:ext cx="1057275" cy="62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11</xdr:row>
      <xdr:rowOff>172959</xdr:rowOff>
    </xdr:from>
    <xdr:to>
      <xdr:col>9</xdr:col>
      <xdr:colOff>571499</xdr:colOff>
      <xdr:row>28</xdr:row>
      <xdr:rowOff>177800</xdr:rowOff>
    </xdr:to>
    <xdr:graphicFrame macro="">
      <xdr:nvGraphicFramePr>
        <xdr:cNvPr id="2" name="Chart 1">
          <a:extLst>
            <a:ext uri="{FF2B5EF4-FFF2-40B4-BE49-F238E27FC236}">
              <a16:creationId xmlns:a16="http://schemas.microsoft.com/office/drawing/2014/main" id="{DB1237BC-8A7D-6436-DC74-7AC61A36E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51</xdr:row>
      <xdr:rowOff>29660</xdr:rowOff>
    </xdr:from>
    <xdr:to>
      <xdr:col>10</xdr:col>
      <xdr:colOff>12700</xdr:colOff>
      <xdr:row>70</xdr:row>
      <xdr:rowOff>0</xdr:rowOff>
    </xdr:to>
    <xdr:graphicFrame macro="">
      <xdr:nvGraphicFramePr>
        <xdr:cNvPr id="3" name="Chart 1">
          <a:extLst>
            <a:ext uri="{FF2B5EF4-FFF2-40B4-BE49-F238E27FC236}">
              <a16:creationId xmlns:a16="http://schemas.microsoft.com/office/drawing/2014/main" id="{C206DD87-CADC-78AD-210E-CF79FFA04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12700</xdr:rowOff>
    </xdr:from>
    <xdr:to>
      <xdr:col>10</xdr:col>
      <xdr:colOff>38100</xdr:colOff>
      <xdr:row>49</xdr:row>
      <xdr:rowOff>177800</xdr:rowOff>
    </xdr:to>
    <xdr:graphicFrame macro="">
      <xdr:nvGraphicFramePr>
        <xdr:cNvPr id="4" name="Chart 1">
          <a:extLst>
            <a:ext uri="{FF2B5EF4-FFF2-40B4-BE49-F238E27FC236}">
              <a16:creationId xmlns:a16="http://schemas.microsoft.com/office/drawing/2014/main" id="{ED8A179E-8243-EED7-D6D6-48430C9F3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10532</xdr:colOff>
      <xdr:row>31</xdr:row>
      <xdr:rowOff>26794</xdr:rowOff>
    </xdr:from>
    <xdr:to>
      <xdr:col>21</xdr:col>
      <xdr:colOff>0</xdr:colOff>
      <xdr:row>49</xdr:row>
      <xdr:rowOff>177800</xdr:rowOff>
    </xdr:to>
    <xdr:graphicFrame macro="">
      <xdr:nvGraphicFramePr>
        <xdr:cNvPr id="5" name="Chart 1">
          <a:extLst>
            <a:ext uri="{FF2B5EF4-FFF2-40B4-BE49-F238E27FC236}">
              <a16:creationId xmlns:a16="http://schemas.microsoft.com/office/drawing/2014/main" id="{1CEE4A4D-FCA0-6261-5597-98E835860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38100</xdr:colOff>
      <xdr:row>12</xdr:row>
      <xdr:rowOff>25400</xdr:rowOff>
    </xdr:from>
    <xdr:to>
      <xdr:col>20</xdr:col>
      <xdr:colOff>584200</xdr:colOff>
      <xdr:row>29</xdr:row>
      <xdr:rowOff>0</xdr:rowOff>
    </xdr:to>
    <xdr:graphicFrame macro="">
      <xdr:nvGraphicFramePr>
        <xdr:cNvPr id="7" name="Chart 6">
          <a:extLst>
            <a:ext uri="{FF2B5EF4-FFF2-40B4-BE49-F238E27FC236}">
              <a16:creationId xmlns:a16="http://schemas.microsoft.com/office/drawing/2014/main" id="{DAA1322B-DB36-32F4-0841-8D0FEAE3C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598759</xdr:colOff>
      <xdr:row>51</xdr:row>
      <xdr:rowOff>17271</xdr:rowOff>
    </xdr:from>
    <xdr:to>
      <xdr:col>13</xdr:col>
      <xdr:colOff>598759</xdr:colOff>
      <xdr:row>60</xdr:row>
      <xdr:rowOff>17271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187B20F-731D-70C1-1B42-CD8B7DC400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39003" y="10413460"/>
              <a:ext cx="1812073" cy="1672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596436</xdr:colOff>
      <xdr:row>51</xdr:row>
      <xdr:rowOff>11614</xdr:rowOff>
    </xdr:from>
    <xdr:to>
      <xdr:col>20</xdr:col>
      <xdr:colOff>596900</xdr:colOff>
      <xdr:row>59</xdr:row>
      <xdr:rowOff>101599</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4273C3EA-1E92-CBCC-2BD3-AE089EC9F68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052777" y="10407803"/>
              <a:ext cx="3624611" cy="15768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131183</xdr:colOff>
      <xdr:row>1</xdr:row>
      <xdr:rowOff>199638</xdr:rowOff>
    </xdr:from>
    <xdr:to>
      <xdr:col>19</xdr:col>
      <xdr:colOff>214507</xdr:colOff>
      <xdr:row>3</xdr:row>
      <xdr:rowOff>211564</xdr:rowOff>
    </xdr:to>
    <xdr:pic>
      <xdr:nvPicPr>
        <xdr:cNvPr id="11" name="Graphic 10" descr="Bar chart with solid fill">
          <a:extLst>
            <a:ext uri="{FF2B5EF4-FFF2-40B4-BE49-F238E27FC236}">
              <a16:creationId xmlns:a16="http://schemas.microsoft.com/office/drawing/2014/main" id="{CB16251A-38F7-0E7A-5946-09CF515E404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03622" y="373876"/>
          <a:ext cx="687348" cy="685645"/>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0.19583</cdr:x>
      <cdr:y>0.42535</cdr:y>
    </cdr:from>
    <cdr:to>
      <cdr:x>0.4625</cdr:x>
      <cdr:y>0.6059</cdr:y>
    </cdr:to>
    <cdr:sp macro="" textlink="">
      <cdr:nvSpPr>
        <cdr:cNvPr id="2" name="TextBox 1">
          <a:extLst xmlns:a="http://schemas.openxmlformats.org/drawingml/2006/main">
            <a:ext uri="{FF2B5EF4-FFF2-40B4-BE49-F238E27FC236}">
              <a16:creationId xmlns:a16="http://schemas.microsoft.com/office/drawing/2014/main" id="{BFAF205F-C295-28B1-72B6-14E4261CDECD}"/>
            </a:ext>
          </a:extLst>
        </cdr:cNvPr>
        <cdr:cNvSpPr txBox="1"/>
      </cdr:nvSpPr>
      <cdr:spPr>
        <a:xfrm xmlns:a="http://schemas.openxmlformats.org/drawingml/2006/main">
          <a:off x="895350" y="1166813"/>
          <a:ext cx="1219200" cy="495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735959143516" createdVersion="8" refreshedVersion="8" minRefreshableVersion="3" recordCount="500" xr:uid="{5E7CC6F1-FA78-4973-B522-DBFC76C30EFA}">
  <cacheSource type="worksheet">
    <worksheetSource name="Sales_Data"/>
  </cacheSource>
  <cacheFields count="20">
    <cacheField name="Order_ID" numFmtId="0">
      <sharedItems/>
    </cacheField>
    <cacheField name="Date" numFmtId="14">
      <sharedItems containsSemiMixedTypes="0" containsNonDate="0" containsDate="1" containsString="0" minDate="2023-01-01T00:00:00" maxDate="2024-12-28T00:00:00" count="362">
        <d v="2024-07-12T00:00:00"/>
        <d v="2024-12-19T00:00:00"/>
        <d v="2024-01-25T00:00:00"/>
        <d v="2023-10-28T00:00:00"/>
        <d v="2024-09-15T00:00:00"/>
        <d v="2023-02-27T00:00:00"/>
        <d v="2024-05-26T00:00:00"/>
        <d v="2023-08-13T00:00:00"/>
        <d v="2024-09-02T00:00:00"/>
        <d v="2024-04-09T00:00:00"/>
        <d v="2023-07-23T00:00:00"/>
        <d v="2023-09-04T00:00:00"/>
        <d v="2024-06-24T00:00:00"/>
        <d v="2023-12-13T00:00:00"/>
        <d v="2023-09-01T00:00:00"/>
        <d v="2024-11-05T00:00:00"/>
        <d v="2023-07-14T00:00:00"/>
        <d v="2024-10-29T00:00:00"/>
        <d v="2023-01-03T00:00:00"/>
        <d v="2024-07-09T00:00:00"/>
        <d v="2023-03-11T00:00:00"/>
        <d v="2023-11-20T00:00:00"/>
        <d v="2023-03-16T00:00:00"/>
        <d v="2023-09-08T00:00:00"/>
        <d v="2023-05-18T00:00:00"/>
        <d v="2024-06-01T00:00:00"/>
        <d v="2024-10-14T00:00:00"/>
        <d v="2024-01-14T00:00:00"/>
        <d v="2024-11-13T00:00:00"/>
        <d v="2023-01-26T00:00:00"/>
        <d v="2023-08-16T00:00:00"/>
        <d v="2023-10-13T00:00:00"/>
        <d v="2023-01-02T00:00:00"/>
        <d v="2023-11-04T00:00:00"/>
        <d v="2024-11-24T00:00:00"/>
        <d v="2023-11-26T00:00:00"/>
        <d v="2023-12-10T00:00:00"/>
        <d v="2023-04-20T00:00:00"/>
        <d v="2024-07-26T00:00:00"/>
        <d v="2024-05-01T00:00:00"/>
        <d v="2024-04-22T00:00:00"/>
        <d v="2023-12-27T00:00:00"/>
        <d v="2023-12-11T00:00:00"/>
        <d v="2024-10-20T00:00:00"/>
        <d v="2024-01-24T00:00:00"/>
        <d v="2023-02-01T00:00:00"/>
        <d v="2023-09-20T00:00:00"/>
        <d v="2024-01-20T00:00:00"/>
        <d v="2024-08-02T00:00:00"/>
        <d v="2024-01-06T00:00:00"/>
        <d v="2024-08-29T00:00:00"/>
        <d v="2023-01-30T00:00:00"/>
        <d v="2024-06-13T00:00:00"/>
        <d v="2023-01-18T00:00:00"/>
        <d v="2024-07-17T00:00:00"/>
        <d v="2024-12-07T00:00:00"/>
        <d v="2023-01-15T00:00:00"/>
        <d v="2024-04-25T00:00:00"/>
        <d v="2024-12-03T00:00:00"/>
        <d v="2023-08-20T00:00:00"/>
        <d v="2023-04-12T00:00:00"/>
        <d v="2024-08-31T00:00:00"/>
        <d v="2024-10-02T00:00:00"/>
        <d v="2023-06-19T00:00:00"/>
        <d v="2024-05-20T00:00:00"/>
        <d v="2024-08-12T00:00:00"/>
        <d v="2024-08-22T00:00:00"/>
        <d v="2024-12-11T00:00:00"/>
        <d v="2024-02-18T00:00:00"/>
        <d v="2023-02-22T00:00:00"/>
        <d v="2024-12-27T00:00:00"/>
        <d v="2023-10-26T00:00:00"/>
        <d v="2023-05-20T00:00:00"/>
        <d v="2024-08-16T00:00:00"/>
        <d v="2024-01-28T00:00:00"/>
        <d v="2023-04-13T00:00:00"/>
        <d v="2023-09-29T00:00:00"/>
        <d v="2023-02-06T00:00:00"/>
        <d v="2024-03-30T00:00:00"/>
        <d v="2024-02-26T00:00:00"/>
        <d v="2024-04-17T00:00:00"/>
        <d v="2024-03-10T00:00:00"/>
        <d v="2024-12-17T00:00:00"/>
        <d v="2023-08-24T00:00:00"/>
        <d v="2024-03-27T00:00:00"/>
        <d v="2024-01-10T00:00:00"/>
        <d v="2023-05-25T00:00:00"/>
        <d v="2024-01-13T00:00:00"/>
        <d v="2024-09-16T00:00:00"/>
        <d v="2024-05-19T00:00:00"/>
        <d v="2023-06-08T00:00:00"/>
        <d v="2023-08-30T00:00:00"/>
        <d v="2024-04-10T00:00:00"/>
        <d v="2023-08-10T00:00:00"/>
        <d v="2023-01-27T00:00:00"/>
        <d v="2023-04-27T00:00:00"/>
        <d v="2023-03-17T00:00:00"/>
        <d v="2024-03-16T00:00:00"/>
        <d v="2023-04-08T00:00:00"/>
        <d v="2024-01-17T00:00:00"/>
        <d v="2024-07-23T00:00:00"/>
        <d v="2023-10-07T00:00:00"/>
        <d v="2024-06-27T00:00:00"/>
        <d v="2023-02-23T00:00:00"/>
        <d v="2023-08-09T00:00:00"/>
        <d v="2024-09-05T00:00:00"/>
        <d v="2023-05-13T00:00:00"/>
        <d v="2023-08-15T00:00:00"/>
        <d v="2024-10-22T00:00:00"/>
        <d v="2024-10-05T00:00:00"/>
        <d v="2024-03-28T00:00:00"/>
        <d v="2023-03-20T00:00:00"/>
        <d v="2024-05-28T00:00:00"/>
        <d v="2023-03-09T00:00:00"/>
        <d v="2023-11-14T00:00:00"/>
        <d v="2024-12-02T00:00:00"/>
        <d v="2024-05-12T00:00:00"/>
        <d v="2023-02-08T00:00:00"/>
        <d v="2023-02-14T00:00:00"/>
        <d v="2023-11-13T00:00:00"/>
        <d v="2024-09-11T00:00:00"/>
        <d v="2023-06-14T00:00:00"/>
        <d v="2024-02-10T00:00:00"/>
        <d v="2023-05-30T00:00:00"/>
        <d v="2024-09-29T00:00:00"/>
        <d v="2024-03-15T00:00:00"/>
        <d v="2024-06-03T00:00:00"/>
        <d v="2023-12-20T00:00:00"/>
        <d v="2023-06-29T00:00:00"/>
        <d v="2023-12-06T00:00:00"/>
        <d v="2024-05-24T00:00:00"/>
        <d v="2023-12-02T00:00:00"/>
        <d v="2024-03-21T00:00:00"/>
        <d v="2024-08-03T00:00:00"/>
        <d v="2023-11-18T00:00:00"/>
        <d v="2023-08-08T00:00:00"/>
        <d v="2023-03-31T00:00:00"/>
        <d v="2024-12-18T00:00:00"/>
        <d v="2024-04-23T00:00:00"/>
        <d v="2024-08-11T00:00:00"/>
        <d v="2024-06-15T00:00:00"/>
        <d v="2024-08-17T00:00:00"/>
        <d v="2023-08-04T00:00:00"/>
        <d v="2023-11-23T00:00:00"/>
        <d v="2023-09-28T00:00:00"/>
        <d v="2024-09-12T00:00:00"/>
        <d v="2024-12-26T00:00:00"/>
        <d v="2024-10-06T00:00:00"/>
        <d v="2023-11-02T00:00:00"/>
        <d v="2023-05-05T00:00:00"/>
        <d v="2023-02-21T00:00:00"/>
        <d v="2023-04-02T00:00:00"/>
        <d v="2023-07-10T00:00:00"/>
        <d v="2024-04-24T00:00:00"/>
        <d v="2023-10-30T00:00:00"/>
        <d v="2024-08-09T00:00:00"/>
        <d v="2024-12-21T00:00:00"/>
        <d v="2023-03-25T00:00:00"/>
        <d v="2023-06-03T00:00:00"/>
        <d v="2023-02-26T00:00:00"/>
        <d v="2023-01-04T00:00:00"/>
        <d v="2024-04-28T00:00:00"/>
        <d v="2024-07-06T00:00:00"/>
        <d v="2023-01-24T00:00:00"/>
        <d v="2023-04-26T00:00:00"/>
        <d v="2023-02-19T00:00:00"/>
        <d v="2023-08-28T00:00:00"/>
        <d v="2024-07-24T00:00:00"/>
        <d v="2024-03-02T00:00:00"/>
        <d v="2024-04-19T00:00:00"/>
        <d v="2024-04-05T00:00:00"/>
        <d v="2024-08-24T00:00:00"/>
        <d v="2024-05-05T00:00:00"/>
        <d v="2023-11-12T00:00:00"/>
        <d v="2023-02-16T00:00:00"/>
        <d v="2023-09-09T00:00:00"/>
        <d v="2024-07-13T00:00:00"/>
        <d v="2024-10-07T00:00:00"/>
        <d v="2024-05-09T00:00:00"/>
        <d v="2023-07-03T00:00:00"/>
        <d v="2024-02-20T00:00:00"/>
        <d v="2024-01-22T00:00:00"/>
        <d v="2024-07-07T00:00:00"/>
        <d v="2024-09-20T00:00:00"/>
        <d v="2024-01-30T00:00:00"/>
        <d v="2024-05-22T00:00:00"/>
        <d v="2023-12-04T00:00:00"/>
        <d v="2024-02-23T00:00:00"/>
        <d v="2024-09-04T00:00:00"/>
        <d v="2023-09-12T00:00:00"/>
        <d v="2023-04-11T00:00:00"/>
        <d v="2023-12-23T00:00:00"/>
        <d v="2023-07-30T00:00:00"/>
        <d v="2024-05-16T00:00:00"/>
        <d v="2024-11-20T00:00:00"/>
        <d v="2024-02-02T00:00:00"/>
        <d v="2023-06-27T00:00:00"/>
        <d v="2023-07-19T00:00:00"/>
        <d v="2024-08-01T00:00:00"/>
        <d v="2023-08-12T00:00:00"/>
        <d v="2023-05-01T00:00:00"/>
        <d v="2023-03-02T00:00:00"/>
        <d v="2024-11-26T00:00:00"/>
        <d v="2023-09-11T00:00:00"/>
        <d v="2023-10-12T00:00:00"/>
        <d v="2023-03-06T00:00:00"/>
        <d v="2024-05-11T00:00:00"/>
        <d v="2023-01-01T00:00:00"/>
        <d v="2024-10-26T00:00:00"/>
        <d v="2024-08-30T00:00:00"/>
        <d v="2024-05-04T00:00:00"/>
        <d v="2024-10-15T00:00:00"/>
        <d v="2024-04-27T00:00:00"/>
        <d v="2023-06-09T00:00:00"/>
        <d v="2023-04-29T00:00:00"/>
        <d v="2023-12-22T00:00:00"/>
        <d v="2023-01-31T00:00:00"/>
        <d v="2023-01-13T00:00:00"/>
        <d v="2024-06-12T00:00:00"/>
        <d v="2024-07-31T00:00:00"/>
        <d v="2024-11-04T00:00:00"/>
        <d v="2023-04-06T00:00:00"/>
        <d v="2023-03-18T00:00:00"/>
        <d v="2023-12-01T00:00:00"/>
        <d v="2023-05-04T00:00:00"/>
        <d v="2024-12-22T00:00:00"/>
        <d v="2023-06-28T00:00:00"/>
        <d v="2024-10-23T00:00:00"/>
        <d v="2024-02-09T00:00:00"/>
        <d v="2023-02-05T00:00:00"/>
        <d v="2024-05-29T00:00:00"/>
        <d v="2024-08-21T00:00:00"/>
        <d v="2024-06-22T00:00:00"/>
        <d v="2024-03-23T00:00:00"/>
        <d v="2024-05-23T00:00:00"/>
        <d v="2024-03-05T00:00:00"/>
        <d v="2024-12-04T00:00:00"/>
        <d v="2024-03-20T00:00:00"/>
        <d v="2024-08-08T00:00:00"/>
        <d v="2024-10-19T00:00:00"/>
        <d v="2023-10-03T00:00:00"/>
        <d v="2023-03-04T00:00:00"/>
        <d v="2024-08-07T00:00:00"/>
        <d v="2023-03-22T00:00:00"/>
        <d v="2023-02-09T00:00:00"/>
        <d v="2024-05-18T00:00:00"/>
        <d v="2024-02-21T00:00:00"/>
        <d v="2024-06-20T00:00:00"/>
        <d v="2023-12-25T00:00:00"/>
        <d v="2023-05-16T00:00:00"/>
        <d v="2023-12-24T00:00:00"/>
        <d v="2024-01-19T00:00:00"/>
        <d v="2023-10-11T00:00:00"/>
        <d v="2023-11-24T00:00:00"/>
        <d v="2024-10-11T00:00:00"/>
        <d v="2023-06-04T00:00:00"/>
        <d v="2023-11-17T00:00:00"/>
        <d v="2024-10-10T00:00:00"/>
        <d v="2023-06-21T00:00:00"/>
        <d v="2023-06-23T00:00:00"/>
        <d v="2024-11-08T00:00:00"/>
        <d v="2023-06-02T00:00:00"/>
        <d v="2024-11-10T00:00:00"/>
        <d v="2024-04-12T00:00:00"/>
        <d v="2023-06-13T00:00:00"/>
        <d v="2024-12-01T00:00:00"/>
        <d v="2024-11-25T00:00:00"/>
        <d v="2024-11-23T00:00:00"/>
        <d v="2023-12-16T00:00:00"/>
        <d v="2024-02-24T00:00:00"/>
        <d v="2023-02-17T00:00:00"/>
        <d v="2024-03-19T00:00:00"/>
        <d v="2024-05-31T00:00:00"/>
        <d v="2024-11-19T00:00:00"/>
        <d v="2023-10-01T00:00:00"/>
        <d v="2023-04-15T00:00:00"/>
        <d v="2024-01-26T00:00:00"/>
        <d v="2023-05-03T00:00:00"/>
        <d v="2023-11-27T00:00:00"/>
        <d v="2024-06-17T00:00:00"/>
        <d v="2023-09-07T00:00:00"/>
        <d v="2024-07-04T00:00:00"/>
        <d v="2024-07-25T00:00:00"/>
        <d v="2023-05-02T00:00:00"/>
        <d v="2023-03-30T00:00:00"/>
        <d v="2024-07-14T00:00:00"/>
        <d v="2023-07-05T00:00:00"/>
        <d v="2024-05-13T00:00:00"/>
        <d v="2024-11-06T00:00:00"/>
        <d v="2024-10-18T00:00:00"/>
        <d v="2023-08-17T00:00:00"/>
        <d v="2024-05-14T00:00:00"/>
        <d v="2023-02-10T00:00:00"/>
        <d v="2023-03-21T00:00:00"/>
        <d v="2023-01-07T00:00:00"/>
        <d v="2023-01-23T00:00:00"/>
        <d v="2023-07-04T00:00:00"/>
        <d v="2024-02-25T00:00:00"/>
        <d v="2023-03-12T00:00:00"/>
        <d v="2024-09-21T00:00:00"/>
        <d v="2024-12-14T00:00:00"/>
        <d v="2023-01-06T00:00:00"/>
        <d v="2024-12-24T00:00:00"/>
        <d v="2024-01-15T00:00:00"/>
        <d v="2024-03-25T00:00:00"/>
        <d v="2023-09-25T00:00:00"/>
        <d v="2024-08-23T00:00:00"/>
        <d v="2023-12-28T00:00:00"/>
        <d v="2023-07-02T00:00:00"/>
        <d v="2024-06-07T00:00:00"/>
        <d v="2023-09-18T00:00:00"/>
        <d v="2024-04-02T00:00:00"/>
        <d v="2023-03-15T00:00:00"/>
        <d v="2024-03-31T00:00:00"/>
        <d v="2023-03-27T00:00:00"/>
        <d v="2024-06-23T00:00:00"/>
        <d v="2024-12-15T00:00:00"/>
        <d v="2024-07-01T00:00:00"/>
        <d v="2023-07-13T00:00:00"/>
        <d v="2023-09-03T00:00:00"/>
        <d v="2023-04-24T00:00:00"/>
        <d v="2024-05-25T00:00:00"/>
        <d v="2023-02-04T00:00:00"/>
        <d v="2023-06-12T00:00:00"/>
        <d v="2024-12-08T00:00:00"/>
        <d v="2023-01-20T00:00:00"/>
        <d v="2024-09-30T00:00:00"/>
        <d v="2024-10-16T00:00:00"/>
        <d v="2023-11-08T00:00:00"/>
        <d v="2024-08-06T00:00:00"/>
        <d v="2023-06-20T00:00:00"/>
        <d v="2023-11-29T00:00:00"/>
        <d v="2023-11-06T00:00:00"/>
        <d v="2023-04-05T00:00:00"/>
        <d v="2023-08-21T00:00:00"/>
        <d v="2023-05-19T00:00:00"/>
        <d v="2023-03-29T00:00:00"/>
        <d v="2023-08-03T00:00:00"/>
        <d v="2024-11-07T00:00:00"/>
        <d v="2023-11-09T00:00:00"/>
        <d v="2023-03-05T00:00:00"/>
        <d v="2024-01-27T00:00:00"/>
        <d v="2023-05-15T00:00:00"/>
        <d v="2023-11-22T00:00:00"/>
        <d v="2023-11-07T00:00:00"/>
        <d v="2023-01-16T00:00:00"/>
        <d v="2024-04-13T00:00:00"/>
        <d v="2024-07-03T00:00:00"/>
        <d v="2024-03-08T00:00:00"/>
        <d v="2024-12-13T00:00:00"/>
        <d v="2023-04-03T00:00:00"/>
        <d v="2024-01-29T00:00:00"/>
        <d v="2024-11-14T00:00:00"/>
        <d v="2024-06-21T00:00:00"/>
        <d v="2024-09-22T00:00:00"/>
        <d v="2024-04-18T00:00:00"/>
        <d v="2023-12-29T00:00:00"/>
        <d v="2023-12-15T00:00:00"/>
        <d v="2023-02-07T00:00:00"/>
        <d v="2024-06-29T00:00:00"/>
        <d v="2023-07-31T00:00:00"/>
        <d v="2023-08-18T00:00:00"/>
      </sharedItems>
      <fieldGroup par="19"/>
    </cacheField>
    <cacheField name="Region" numFmtId="0">
      <sharedItems count="4">
        <s v="North"/>
        <s v="East"/>
        <s v="South"/>
        <s v="West"/>
      </sharedItems>
    </cacheField>
    <cacheField name="City" numFmtId="0">
      <sharedItems/>
    </cacheField>
    <cacheField name="Salesperson" numFmtId="0">
      <sharedItems count="15">
        <s v="Sneha Reddy"/>
        <s v="Ravi Gupta"/>
        <s v="Anjali Patel"/>
        <s v="Arun Krishnan"/>
        <s v="Sanjay Das"/>
        <s v="Lakshmi Rao"/>
        <s v="Pooja Mehta"/>
        <s v="Arjun Kumar"/>
        <s v="Rahul Nair"/>
        <s v="Divya Iyer"/>
        <s v="Meera Joshi"/>
        <s v="Suresh Babu"/>
        <s v="Priya Sharma"/>
        <s v="Karthik Menon"/>
        <s v="Vikram Singh"/>
      </sharedItems>
    </cacheField>
    <cacheField name="Product_Category" numFmtId="0">
      <sharedItems count="6">
        <s v="Books &amp; Stationery"/>
        <s v="Clothing"/>
        <s v="Home &amp; Kitchen"/>
        <s v="Beauty &amp; Health"/>
        <s v="Electronics"/>
        <s v="Sports"/>
      </sharedItems>
    </cacheField>
    <cacheField name="Product_Name" numFmtId="0">
      <sharedItems count="48">
        <s v="A4 Notebook Pack"/>
        <s v="Sports T-Shirt"/>
        <s v="Kids Dress"/>
        <s v="Office Planner 2024"/>
        <s v="Tamil Literature Classic"/>
        <s v="Induction Cooktop"/>
        <s v="Essential Oil Set"/>
        <s v="Bluetooth Speaker"/>
        <s v="Winter Jacket"/>
        <s v="Denim Jeans"/>
        <s v="Women's Kurti"/>
        <s v="Curtain Pair"/>
        <s v="Cricket Bat"/>
        <s v="Shampoo 400ml"/>
        <s v="Laptop Pro 15"/>
        <s v="Running Shoes"/>
        <s v="Python Programming"/>
        <s v="Vitamin C Tablets"/>
        <s v="Body Lotion"/>
        <s v="Protein Powder 1kg"/>
        <s v="Yoga Mat Premium"/>
        <s v="Bedsheet Set King"/>
        <s v="Football Size 5"/>
        <s v="Data Science Handbook"/>
        <s v="Air Fryer"/>
        <s v="Art Sketch Book"/>
        <s v="Smart TV 43inch"/>
        <s v="Business Analytics"/>
        <s v="Water Purifier"/>
        <s v="Tablet 10inch"/>
        <s v="Dumbbells Set 10kg"/>
        <s v="Hair Serum 100ml"/>
        <s v="Men's Formal Shirt"/>
        <s v="Sunscreen SPF50"/>
        <s v="Ethnic Kurta"/>
        <s v="Non-stick Pan Set"/>
        <s v="Resistance Bands"/>
        <s v="Premium Pens Set"/>
        <s v="Cycling Gloves"/>
        <s v="Webcam HD"/>
        <s v="Badminton Racket"/>
        <s v="Wireless Headphones"/>
        <s v="Pressure Cooker 5L"/>
        <s v="Gaming Console"/>
        <s v="Mixer Grinder"/>
        <s v="Face Moisturizer SPF"/>
        <s v="Saree Cotton"/>
        <s v="Smartwatch Series 5"/>
      </sharedItems>
    </cacheField>
    <cacheField name="Units_Sold" numFmtId="0">
      <sharedItems containsSemiMixedTypes="0" containsString="0" containsNumber="1" containsInteger="1" minValue="1" maxValue="50"/>
    </cacheField>
    <cacheField name="Unit_Price" numFmtId="166">
      <sharedItems containsSemiMixedTypes="0" containsString="0" containsNumber="1" minValue="85.88" maxValue="59572.33"/>
    </cacheField>
    <cacheField name="Revenue" numFmtId="166">
      <sharedItems containsSemiMixedTypes="0" containsString="0" containsNumber="1" minValue="277.8" maxValue="2498923.0699999998" count="500">
        <n v="3544.2"/>
        <n v="14148.42"/>
        <n v="16394.22"/>
        <n v="9359.1200000000008"/>
        <n v="22485.55"/>
        <n v="183232.89"/>
        <n v="72454.38"/>
        <n v="1949195.52"/>
        <n v="78691.92"/>
        <n v="89943.92"/>
        <n v="19362"/>
        <n v="62253.99"/>
        <n v="111690.32"/>
        <n v="168009.60000000001"/>
        <n v="41173.660000000003"/>
        <n v="272004.3"/>
        <n v="201452.88"/>
        <n v="23285.599999999999"/>
        <n v="5956.8"/>
        <n v="30547.02"/>
        <n v="11014.38"/>
        <n v="11162.58"/>
        <n v="20819.7"/>
        <n v="421683.37"/>
        <n v="20963.72"/>
        <n v="14950.8"/>
        <n v="73319.399999999994"/>
        <n v="2328.84"/>
        <n v="2444065.65"/>
        <n v="40557.75"/>
        <n v="16773.759999999998"/>
        <n v="87012"/>
        <n v="380452.6"/>
        <n v="2195717.14"/>
        <n v="62256.57"/>
        <n v="35517.24"/>
        <n v="2653.74"/>
        <n v="367491.32"/>
        <n v="4901.3999999999996"/>
        <n v="70907.679999999993"/>
        <n v="16917.400000000001"/>
        <n v="30083.200000000001"/>
        <n v="20859.12"/>
        <n v="9630.61"/>
        <n v="4213.16"/>
        <n v="229828.62"/>
        <n v="5785.35"/>
        <n v="125235.76"/>
        <n v="98158.9"/>
        <n v="589327.94999999995"/>
        <n v="21174.959999999999"/>
        <n v="27916.400000000001"/>
        <n v="33108.239999999998"/>
        <n v="178582.86"/>
        <n v="33166"/>
        <n v="44674.5"/>
        <n v="414271.26"/>
        <n v="162379.24"/>
        <n v="24286.68"/>
        <n v="149053.92000000001"/>
        <n v="5353.4"/>
        <n v="369527.13"/>
        <n v="5458.3"/>
        <n v="98918.26"/>
        <n v="186628.37"/>
        <n v="4576.3"/>
        <n v="15022.92"/>
        <n v="545779.6"/>
        <n v="844484.6"/>
        <n v="11913.66"/>
        <n v="1338558.24"/>
        <n v="213516.66"/>
        <n v="330582.21000000002"/>
        <n v="903838.32"/>
        <n v="2339.84"/>
        <n v="24022.16"/>
        <n v="18802.400000000001"/>
        <n v="2406.14"/>
        <n v="274882.86"/>
        <n v="1340.04"/>
        <n v="48986.7"/>
        <n v="36283.360000000001"/>
        <n v="6521.27"/>
        <n v="134352.66"/>
        <n v="662513.28"/>
        <n v="411733.3"/>
        <n v="37350.5"/>
        <n v="1751653.41"/>
        <n v="95094.02"/>
        <n v="78924.509999999995"/>
        <n v="44878.9"/>
        <n v="14401.66"/>
        <n v="1547.78"/>
        <n v="1177.1099999999999"/>
        <n v="85763.520000000004"/>
        <n v="45933.75"/>
        <n v="10113.74"/>
        <n v="124181.62"/>
        <n v="61942.559999999998"/>
        <n v="19000.05"/>
        <n v="63626.97"/>
        <n v="17763.240000000002"/>
        <n v="316783.74"/>
        <n v="46077.68"/>
        <n v="22710.18"/>
        <n v="101551.38"/>
        <n v="170326.44"/>
        <n v="286800.96999999997"/>
        <n v="59795.6"/>
        <n v="246343.44"/>
        <n v="209018.32"/>
        <n v="18293.490000000002"/>
        <n v="3705.92"/>
        <n v="2460.84"/>
        <n v="230472.69"/>
        <n v="6480.3"/>
        <n v="146256.5"/>
        <n v="148759.59"/>
        <n v="17797.28"/>
        <n v="87764.15"/>
        <n v="195520.21"/>
        <n v="91511.2"/>
        <n v="10649.34"/>
        <n v="53322.78"/>
        <n v="143942.48000000001"/>
        <n v="59817"/>
        <n v="412882"/>
        <n v="158722.65"/>
        <n v="303054.71999999997"/>
        <n v="220434.92"/>
        <n v="232529.4"/>
        <n v="1541932.32"/>
        <n v="26715.5"/>
        <n v="3435.2"/>
        <n v="8396.24"/>
        <n v="154617.21"/>
        <n v="3739.2"/>
        <n v="15588.83"/>
        <n v="1423.71"/>
        <n v="241949.61"/>
        <n v="1192287.8"/>
        <n v="11493"/>
        <n v="397104.96"/>
        <n v="3695.76"/>
        <n v="32248.59"/>
        <n v="149597"/>
        <n v="43789.75"/>
        <n v="15362.64"/>
        <n v="137804.65"/>
        <n v="136812.4"/>
        <n v="11574.72"/>
        <n v="346034.68"/>
        <n v="72278"/>
        <n v="16096.74"/>
        <n v="6462.4"/>
        <n v="170861.91"/>
        <n v="12418"/>
        <n v="34664.300000000003"/>
        <n v="61415.839999999997"/>
        <n v="22678.37"/>
        <n v="85185.96"/>
        <n v="5922.7"/>
        <n v="88239.24"/>
        <n v="744120.08"/>
        <n v="1064685.1599999999"/>
        <n v="29528.18"/>
        <n v="184584.24"/>
        <n v="173617.6"/>
        <n v="263647.71000000002"/>
        <n v="167692.56"/>
        <n v="98166.77"/>
        <n v="505033.56"/>
        <n v="81891.520000000004"/>
        <n v="65587.69"/>
        <n v="11974.68"/>
        <n v="8354.49"/>
        <n v="7480.05"/>
        <n v="281094.45"/>
        <n v="15042.11"/>
        <n v="18399.080000000002"/>
        <n v="330383.37"/>
        <n v="5177.6000000000004"/>
        <n v="35368.379999999997"/>
        <n v="13471.68"/>
        <n v="260731.08"/>
        <n v="23844.62"/>
        <n v="872363.6"/>
        <n v="4506.92"/>
        <n v="146330.25"/>
        <n v="52895.61"/>
        <n v="28904.400000000001"/>
        <n v="15315.3"/>
        <n v="32013"/>
        <n v="122001.52"/>
        <n v="72561.3"/>
        <n v="12850.95"/>
        <n v="35023.519999999997"/>
        <n v="358129.59"/>
        <n v="750814.87"/>
        <n v="35488.39"/>
        <n v="1153495.77"/>
        <n v="17303"/>
        <n v="20592.11"/>
        <n v="157898.15"/>
        <n v="20076.439999999999"/>
        <n v="34481.96"/>
        <n v="52557.99"/>
        <n v="39091.08"/>
        <n v="1091398.28"/>
        <n v="972706.5"/>
        <n v="556330.15"/>
        <n v="25265.03"/>
        <n v="18254.919999999998"/>
        <n v="92196"/>
        <n v="641106.48"/>
        <n v="227138.4"/>
        <n v="24259.5"/>
        <n v="28202.400000000001"/>
        <n v="278952.08"/>
        <n v="62000.19"/>
        <n v="112038.24"/>
        <n v="19209.759999999998"/>
        <n v="26985.56"/>
        <n v="1258394.8999999999"/>
        <n v="25555.200000000001"/>
        <n v="515274.5"/>
        <n v="422191"/>
        <n v="350200.3"/>
        <n v="121057.16"/>
        <n v="996722.14"/>
        <n v="261802.8"/>
        <n v="49150.31"/>
        <n v="93089.919999999998"/>
        <n v="111898.15"/>
        <n v="52119.6"/>
        <n v="46951.28"/>
        <n v="188355.5"/>
        <n v="25703.439999999999"/>
        <n v="1192371.06"/>
        <n v="9437.6"/>
        <n v="14038.54"/>
        <n v="36069.93"/>
        <n v="82709.710000000006"/>
        <n v="1151476.8"/>
        <n v="17930.68"/>
        <n v="8967.68"/>
        <n v="74837.7"/>
        <n v="1067.8499999999999"/>
        <n v="9493.84"/>
        <n v="47178.8"/>
        <n v="20449.759999999998"/>
        <n v="285622.24"/>
        <n v="18415.349999999999"/>
        <n v="10148.32"/>
        <n v="241079.05"/>
        <n v="17127.560000000001"/>
        <n v="2562.6"/>
        <n v="2317.6"/>
        <n v="380959.02"/>
        <n v="657309.5"/>
        <n v="19562.400000000001"/>
        <n v="31194.240000000002"/>
        <n v="156300.18"/>
        <n v="596791.36"/>
        <n v="253487.88"/>
        <n v="86214.5"/>
        <n v="316896.75"/>
        <n v="246311.67999999999"/>
        <n v="9364.32"/>
        <n v="292246.71000000002"/>
        <n v="6640.13"/>
        <n v="13397.36"/>
        <n v="811117.06"/>
        <n v="3918.78"/>
        <n v="1850.2"/>
        <n v="610594.6"/>
        <n v="52541.760000000002"/>
        <n v="4844.82"/>
        <n v="33432.35"/>
        <n v="119563.5"/>
        <n v="70356"/>
        <n v="340861.02"/>
        <n v="29696.1"/>
        <n v="1615684.76"/>
        <n v="186436.74"/>
        <n v="18041.400000000001"/>
        <n v="76919.199999999997"/>
        <n v="74324.100000000006"/>
        <n v="76328.42"/>
        <n v="196914.79"/>
        <n v="36348.620000000003"/>
        <n v="7128.64"/>
        <n v="16128.91"/>
        <n v="69615.28"/>
        <n v="745677.66"/>
        <n v="36021.300000000003"/>
        <n v="19028.45"/>
        <n v="11567.52"/>
        <n v="28698.32"/>
        <n v="645904.55000000005"/>
        <n v="72638.55"/>
        <n v="132359.89000000001"/>
        <n v="28775.4"/>
        <n v="271143.40000000002"/>
        <n v="69638.100000000006"/>
        <n v="110578.48"/>
        <n v="16606.52"/>
        <n v="83691.66"/>
        <n v="10946.36"/>
        <n v="2096.7800000000002"/>
        <n v="239815.02"/>
        <n v="1801.17"/>
        <n v="2283.1999999999998"/>
        <n v="14692.32"/>
        <n v="278578.25"/>
        <n v="20705.36"/>
        <n v="33640.92"/>
        <n v="176998.3"/>
        <n v="82371.960000000006"/>
        <n v="44958.36"/>
        <n v="307821.43"/>
        <n v="572715.26"/>
        <n v="1755.27"/>
        <n v="52576.92"/>
        <n v="10328.040000000001"/>
        <n v="27226.85"/>
        <n v="11488.88"/>
        <n v="54913.04"/>
        <n v="156220.6"/>
        <n v="326923.8"/>
        <n v="7140.58"/>
        <n v="52779.37"/>
        <n v="66638.880000000005"/>
        <n v="7737.39"/>
        <n v="20212.8"/>
        <n v="28716.23"/>
        <n v="252319.27"/>
        <n v="32057.1"/>
        <n v="132441.54"/>
        <n v="476251.68"/>
        <n v="151344.26999999999"/>
        <n v="130449.1"/>
        <n v="3899.49"/>
        <n v="23847.85"/>
        <n v="674.01"/>
        <n v="76111.75"/>
        <n v="59196.83"/>
        <n v="10906.98"/>
        <n v="49072.4"/>
        <n v="235083.5"/>
        <n v="33619.39"/>
        <n v="37167.75"/>
        <n v="217986.92"/>
        <n v="63402.68"/>
        <n v="49102.02"/>
        <n v="123247.8"/>
        <n v="140949.9"/>
        <n v="17488.64"/>
        <n v="38288.550000000003"/>
        <n v="5683.59"/>
        <n v="2171.75"/>
        <n v="972.24"/>
        <n v="30357.86"/>
        <n v="233746.26"/>
        <n v="91762.559999999998"/>
        <n v="717.69"/>
        <n v="8026.2"/>
        <n v="78203.55"/>
        <n v="65072.28"/>
        <n v="15298.71"/>
        <n v="45326.1"/>
        <n v="23573.77"/>
        <n v="135884.35"/>
        <n v="98805.6"/>
        <n v="186652.51"/>
        <n v="12351.84"/>
        <n v="132402.48000000001"/>
        <n v="29764.76"/>
        <n v="16578.599999999999"/>
        <n v="10383.66"/>
        <n v="9046.1299999999992"/>
        <n v="2323320.87"/>
        <n v="39849.42"/>
        <n v="28234.2"/>
        <n v="55275.48"/>
        <n v="62169.26"/>
        <n v="155074.14000000001"/>
        <n v="11296.11"/>
        <n v="296668.84000000003"/>
        <n v="284399.59999999998"/>
        <n v="80379.86"/>
        <n v="81913.649999999994"/>
        <n v="25280.19"/>
        <n v="447724.64"/>
        <n v="11565.3"/>
        <n v="91158.86"/>
        <n v="474071.07"/>
        <n v="52996.02"/>
        <n v="15188.4"/>
        <n v="498069"/>
        <n v="14574.24"/>
        <n v="14743.54"/>
        <n v="483866.02"/>
        <n v="15889.65"/>
        <n v="13905.76"/>
        <n v="125637.38"/>
        <n v="53742.04"/>
        <n v="277.8"/>
        <n v="73265.22"/>
        <n v="504054.72"/>
        <n v="56427.15"/>
        <n v="116945.12"/>
        <n v="13644.54"/>
        <n v="1562.84"/>
        <n v="9443.2000000000007"/>
        <n v="216632.16"/>
        <n v="82142.2"/>
        <n v="29483.24"/>
        <n v="2498923.0699999998"/>
        <n v="686709.78"/>
        <n v="8176.5"/>
        <n v="13466.7"/>
        <n v="58225.36"/>
        <n v="2347.71"/>
        <n v="840935.7"/>
        <n v="58598.5"/>
        <n v="21080.5"/>
        <n v="53656.08"/>
        <n v="7693.12"/>
        <n v="18991.560000000001"/>
        <n v="293264.7"/>
        <n v="1870.62"/>
        <n v="43064.19"/>
        <n v="484854"/>
        <n v="34906.9"/>
        <n v="4661.8599999999997"/>
        <n v="2112975.06"/>
        <n v="11402.16"/>
        <n v="15108.4"/>
        <n v="7305"/>
        <n v="26005.8"/>
        <n v="166505.74"/>
        <n v="65402.400000000001"/>
        <n v="3832.14"/>
        <n v="1118421.72"/>
        <n v="152395.20000000001"/>
        <n v="8483.15"/>
        <n v="712826.52"/>
        <n v="301908.95"/>
        <n v="68888.679999999993"/>
        <n v="34561.279999999999"/>
        <n v="6907.95"/>
        <n v="208156.9"/>
        <n v="16479.900000000001"/>
        <n v="150903.92000000001"/>
        <n v="77418.45"/>
        <n v="90981.6"/>
        <n v="994651.14"/>
        <n v="15701.18"/>
        <n v="195942.28"/>
        <n v="296859.64"/>
        <n v="82327.600000000006"/>
        <n v="123824"/>
        <n v="23127.24"/>
        <n v="4336.08"/>
        <n v="5104.32"/>
        <n v="6645.76"/>
        <n v="1511887.16"/>
        <n v="10950.45"/>
        <n v="158293.71"/>
        <n v="233687.4"/>
        <n v="30114.78"/>
        <n v="2047430.88"/>
        <n v="1111775.6100000001"/>
        <n v="25231.69"/>
        <n v="721407.5"/>
        <n v="45671.360000000001"/>
        <n v="60849.36"/>
        <n v="72799.86"/>
        <n v="446465.36"/>
        <n v="552.9"/>
        <n v="97632.45"/>
        <n v="261860.5"/>
        <n v="241039.03"/>
        <n v="1966629.37"/>
        <n v="12518.53"/>
        <n v="1135791.28"/>
        <n v="379302.7"/>
        <n v="3533.6"/>
        <n v="41553.72"/>
        <n v="60877.67"/>
        <n v="96204.6"/>
        <n v="106285.7"/>
        <n v="511795.83"/>
        <n v="37840.18"/>
        <n v="4322.7700000000004"/>
        <n v="4349.28"/>
        <n v="3506.5"/>
        <n v="140321.60999999999"/>
        <n v="76398.42"/>
      </sharedItems>
    </cacheField>
    <cacheField name="Discount_%" numFmtId="43">
      <sharedItems containsSemiMixedTypes="0" containsString="0" containsNumber="1" containsInteger="1" minValue="0" maxValue="25"/>
    </cacheField>
    <cacheField name="Net_Revenue" numFmtId="166">
      <sharedItems containsSemiMixedTypes="0" containsString="0" containsNumber="1" minValue="236.13" maxValue="2249030.7599999998"/>
    </cacheField>
    <cacheField name="COGS" numFmtId="166">
      <sharedItems containsSemiMixedTypes="0" containsString="0" containsNumber="1" minValue="103.98" maxValue="1293006.47"/>
    </cacheField>
    <cacheField name="Profit" numFmtId="166">
      <sharedItems containsSemiMixedTypes="0" containsString="0" containsNumber="1" minValue="132.15" maxValue="1163006.72"/>
    </cacheField>
    <cacheField name="Profit_Margin_%" numFmtId="43">
      <sharedItems containsSemiMixedTypes="0" containsString="0" containsNumber="1" minValue="30.1" maxValue="59.98"/>
    </cacheField>
    <cacheField name="Customer_Segment" numFmtId="0">
      <sharedItems count="5">
        <s v="Retail"/>
        <s v="Education"/>
        <s v="SMB"/>
        <s v="Corporate"/>
        <s v="Government"/>
      </sharedItems>
    </cacheField>
    <cacheField name="Payment_Method" numFmtId="0">
      <sharedItems count="6">
        <s v="Cash on Delivery"/>
        <s v="Net Banking"/>
        <s v="UPI"/>
        <s v="Credit Card"/>
        <s v="EMI"/>
        <s v="Debit Card"/>
      </sharedItems>
    </cacheField>
    <cacheField name="Return_Flag" numFmtId="0">
      <sharedItems/>
    </cacheField>
    <cacheField name="Months (Date)" numFmtId="0" databaseField="0">
      <fieldGroup base="1">
        <rangePr groupBy="months" startDate="2023-01-01T00:00:00" endDate="2024-12-28T00:00:00"/>
        <groupItems count="14">
          <s v="&lt;01-01-2023"/>
          <s v="Jan"/>
          <s v="Feb"/>
          <s v="Mar"/>
          <s v="Apr"/>
          <s v="May"/>
          <s v="Jun"/>
          <s v="Jul"/>
          <s v="Aug"/>
          <s v="Sep"/>
          <s v="Oct"/>
          <s v="Nov"/>
          <s v="Dec"/>
          <s v="&gt;28-12-2024"/>
        </groupItems>
      </fieldGroup>
    </cacheField>
    <cacheField name="Years (Date)" numFmtId="0" databaseField="0">
      <fieldGroup base="1">
        <rangePr groupBy="years" startDate="2023-01-01T00:00:00" endDate="2024-12-28T00:00:00"/>
        <groupItems count="4">
          <s v="&lt;01-01-2023"/>
          <s v="2023"/>
          <s v="2024"/>
          <s v="&gt;28-12-2024"/>
        </groupItems>
      </fieldGroup>
    </cacheField>
  </cacheFields>
  <extLst>
    <ext xmlns:x14="http://schemas.microsoft.com/office/spreadsheetml/2009/9/main" uri="{725AE2AE-9491-48be-B2B4-4EB974FC3084}">
      <x14:pivotCacheDefinition pivotCacheId="364550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x v="0"/>
    <x v="0"/>
    <s v="Delhi"/>
    <x v="0"/>
    <x v="0"/>
    <x v="0"/>
    <n v="15"/>
    <n v="236.28"/>
    <x v="0"/>
    <n v="0"/>
    <n v="3544.2"/>
    <n v="2137.19"/>
    <n v="1407.01"/>
    <n v="39.700000000000003"/>
    <x v="0"/>
    <x v="0"/>
    <s v="No"/>
  </r>
  <r>
    <s v="ORD-10002"/>
    <x v="1"/>
    <x v="0"/>
    <s v="Delhi"/>
    <x v="1"/>
    <x v="1"/>
    <x v="1"/>
    <n v="39"/>
    <n v="362.78"/>
    <x v="1"/>
    <n v="5"/>
    <n v="13441"/>
    <n v="8263.61"/>
    <n v="5177.3900000000003"/>
    <n v="38.520000000000003"/>
    <x v="1"/>
    <x v="1"/>
    <s v="No"/>
  </r>
  <r>
    <s v="ORD-10003"/>
    <x v="2"/>
    <x v="1"/>
    <s v="Kolkata"/>
    <x v="2"/>
    <x v="1"/>
    <x v="2"/>
    <n v="18"/>
    <n v="910.79"/>
    <x v="2"/>
    <n v="10"/>
    <n v="14754.8"/>
    <n v="6354.35"/>
    <n v="8400.4500000000007"/>
    <n v="56.93"/>
    <x v="0"/>
    <x v="2"/>
    <s v="No"/>
  </r>
  <r>
    <s v="ORD-10004"/>
    <x v="3"/>
    <x v="1"/>
    <s v="Kolkata"/>
    <x v="1"/>
    <x v="0"/>
    <x v="3"/>
    <n v="8"/>
    <n v="1169.8900000000001"/>
    <x v="3"/>
    <n v="15"/>
    <n v="7955.25"/>
    <n v="3370.16"/>
    <n v="4585.09"/>
    <n v="57.64"/>
    <x v="1"/>
    <x v="2"/>
    <s v="No"/>
  </r>
  <r>
    <s v="ORD-10005"/>
    <x v="2"/>
    <x v="0"/>
    <s v="Delhi"/>
    <x v="3"/>
    <x v="0"/>
    <x v="4"/>
    <n v="19"/>
    <n v="1183.45"/>
    <x v="4"/>
    <n v="5"/>
    <n v="21361.27"/>
    <n v="14097.27"/>
    <n v="7264"/>
    <n v="34.01"/>
    <x v="2"/>
    <x v="1"/>
    <s v="No"/>
  </r>
  <r>
    <s v="ORD-10006"/>
    <x v="4"/>
    <x v="1"/>
    <s v="Bhubaneswar"/>
    <x v="0"/>
    <x v="2"/>
    <x v="5"/>
    <n v="43"/>
    <n v="4261.2299999999996"/>
    <x v="5"/>
    <n v="25"/>
    <n v="137424.67000000001"/>
    <n v="81686.679999999993"/>
    <n v="55737.99"/>
    <n v="40.56"/>
    <x v="3"/>
    <x v="0"/>
    <s v="No"/>
  </r>
  <r>
    <s v="ORD-10007"/>
    <x v="5"/>
    <x v="2"/>
    <s v="Kochi"/>
    <x v="4"/>
    <x v="3"/>
    <x v="6"/>
    <n v="41"/>
    <n v="1767.18"/>
    <x v="6"/>
    <n v="5"/>
    <n v="68831.66"/>
    <n v="41669.599999999999"/>
    <n v="27162.06"/>
    <n v="39.46"/>
    <x v="3"/>
    <x v="3"/>
    <s v="No"/>
  </r>
  <r>
    <s v="ORD-10008"/>
    <x v="6"/>
    <x v="3"/>
    <s v="Ahmedabad"/>
    <x v="4"/>
    <x v="4"/>
    <x v="7"/>
    <n v="37"/>
    <n v="52680.959999999999"/>
    <x v="7"/>
    <n v="10"/>
    <n v="1754275.97"/>
    <n v="813612.08"/>
    <n v="940663.89"/>
    <n v="53.62"/>
    <x v="4"/>
    <x v="4"/>
    <s v="No"/>
  </r>
  <r>
    <s v="ORD-10009"/>
    <x v="7"/>
    <x v="1"/>
    <s v="Bhubaneswar"/>
    <x v="5"/>
    <x v="1"/>
    <x v="8"/>
    <n v="38"/>
    <n v="2070.84"/>
    <x v="8"/>
    <n v="20"/>
    <n v="62953.54"/>
    <n v="32724.52"/>
    <n v="30229.02"/>
    <n v="48.02"/>
    <x v="3"/>
    <x v="0"/>
    <s v="No"/>
  </r>
  <r>
    <s v="ORD-10010"/>
    <x v="8"/>
    <x v="0"/>
    <s v="Delhi"/>
    <x v="3"/>
    <x v="1"/>
    <x v="9"/>
    <n v="44"/>
    <n v="2044.18"/>
    <x v="9"/>
    <n v="0"/>
    <n v="89943.92"/>
    <n v="46359.81"/>
    <n v="43584.11"/>
    <n v="48.46"/>
    <x v="4"/>
    <x v="0"/>
    <s v="No"/>
  </r>
  <r>
    <s v="ORD-10011"/>
    <x v="9"/>
    <x v="0"/>
    <s v="Delhi"/>
    <x v="3"/>
    <x v="0"/>
    <x v="0"/>
    <n v="42"/>
    <n v="461"/>
    <x v="10"/>
    <n v="10"/>
    <n v="17425.8"/>
    <n v="9243.16"/>
    <n v="8182.64"/>
    <n v="46.96"/>
    <x v="0"/>
    <x v="4"/>
    <s v="No"/>
  </r>
  <r>
    <s v="ORD-10012"/>
    <x v="10"/>
    <x v="1"/>
    <s v="Ranchi"/>
    <x v="6"/>
    <x v="1"/>
    <x v="10"/>
    <n v="41"/>
    <n v="1518.39"/>
    <x v="11"/>
    <n v="25"/>
    <n v="46690.49"/>
    <n v="25787.1"/>
    <n v="20903.39"/>
    <n v="44.77"/>
    <x v="3"/>
    <x v="2"/>
    <s v="No"/>
  </r>
  <r>
    <s v="ORD-10013"/>
    <x v="11"/>
    <x v="0"/>
    <s v="Agra"/>
    <x v="7"/>
    <x v="2"/>
    <x v="11"/>
    <n v="8"/>
    <n v="13961.29"/>
    <x v="12"/>
    <n v="10"/>
    <n v="100521.29"/>
    <n v="47429.53"/>
    <n v="53091.76"/>
    <n v="52.82"/>
    <x v="1"/>
    <x v="3"/>
    <s v="No"/>
  </r>
  <r>
    <s v="ORD-10014"/>
    <x v="12"/>
    <x v="3"/>
    <s v="Mumbai"/>
    <x v="8"/>
    <x v="5"/>
    <x v="12"/>
    <n v="43"/>
    <n v="3907.2"/>
    <x v="13"/>
    <n v="20"/>
    <n v="134407.67999999999"/>
    <n v="60421.37"/>
    <n v="73986.31"/>
    <n v="55.05"/>
    <x v="1"/>
    <x v="1"/>
    <s v="No"/>
  </r>
  <r>
    <s v="ORD-10015"/>
    <x v="13"/>
    <x v="2"/>
    <s v="Hyderabad"/>
    <x v="9"/>
    <x v="3"/>
    <x v="13"/>
    <n v="34"/>
    <n v="1210.99"/>
    <x v="14"/>
    <n v="5"/>
    <n v="39114.980000000003"/>
    <n v="18282.7"/>
    <n v="20832.28"/>
    <n v="53.26"/>
    <x v="0"/>
    <x v="0"/>
    <s v="No"/>
  </r>
  <r>
    <s v="ORD-10016"/>
    <x v="14"/>
    <x v="2"/>
    <s v="Chennai"/>
    <x v="0"/>
    <x v="4"/>
    <x v="14"/>
    <n v="5"/>
    <n v="54400.86"/>
    <x v="15"/>
    <n v="10"/>
    <n v="244803.87"/>
    <n v="103125.39"/>
    <n v="141678.48000000001"/>
    <n v="57.87"/>
    <x v="2"/>
    <x v="4"/>
    <s v="No"/>
  </r>
  <r>
    <s v="ORD-10017"/>
    <x v="15"/>
    <x v="2"/>
    <s v="Coimbatore"/>
    <x v="0"/>
    <x v="5"/>
    <x v="15"/>
    <n v="31"/>
    <n v="6498.48"/>
    <x v="16"/>
    <n v="5"/>
    <n v="191380.24"/>
    <n v="81967.72"/>
    <n v="109412.52"/>
    <n v="57.17"/>
    <x v="4"/>
    <x v="2"/>
    <s v="No"/>
  </r>
  <r>
    <s v="ORD-10018"/>
    <x v="16"/>
    <x v="3"/>
    <s v="Mumbai"/>
    <x v="7"/>
    <x v="0"/>
    <x v="16"/>
    <n v="26"/>
    <n v="895.6"/>
    <x v="17"/>
    <n v="0"/>
    <n v="23285.599999999999"/>
    <n v="11051.27"/>
    <n v="12234.33"/>
    <n v="52.54"/>
    <x v="1"/>
    <x v="1"/>
    <s v="No"/>
  </r>
  <r>
    <s v="ORD-10019"/>
    <x v="17"/>
    <x v="2"/>
    <s v="Hyderabad"/>
    <x v="6"/>
    <x v="3"/>
    <x v="17"/>
    <n v="5"/>
    <n v="1191.3599999999999"/>
    <x v="18"/>
    <n v="20"/>
    <n v="4765.4399999999996"/>
    <n v="2046.15"/>
    <n v="2719.29"/>
    <n v="57.06"/>
    <x v="1"/>
    <x v="3"/>
    <s v="No"/>
  </r>
  <r>
    <s v="ORD-10020"/>
    <x v="18"/>
    <x v="2"/>
    <s v="Bangalore"/>
    <x v="9"/>
    <x v="3"/>
    <x v="18"/>
    <n v="14"/>
    <n v="2181.9299999999998"/>
    <x v="19"/>
    <n v="0"/>
    <n v="30547.02"/>
    <n v="13727.56"/>
    <n v="16819.46"/>
    <n v="55.06"/>
    <x v="4"/>
    <x v="2"/>
    <s v="No"/>
  </r>
  <r>
    <s v="ORD-10021"/>
    <x v="19"/>
    <x v="3"/>
    <s v="Ahmedabad"/>
    <x v="8"/>
    <x v="3"/>
    <x v="18"/>
    <n v="13"/>
    <n v="847.26"/>
    <x v="20"/>
    <n v="0"/>
    <n v="11014.38"/>
    <n v="6319.55"/>
    <n v="4694.83"/>
    <n v="42.62"/>
    <x v="0"/>
    <x v="4"/>
    <s v="No"/>
  </r>
  <r>
    <s v="ORD-10022"/>
    <x v="20"/>
    <x v="0"/>
    <s v="Agra"/>
    <x v="7"/>
    <x v="3"/>
    <x v="19"/>
    <n v="33"/>
    <n v="338.26"/>
    <x v="21"/>
    <n v="5"/>
    <n v="10604.45"/>
    <n v="4459.7700000000004"/>
    <n v="6144.68"/>
    <n v="57.94"/>
    <x v="3"/>
    <x v="1"/>
    <s v="No"/>
  </r>
  <r>
    <s v="ORD-10023"/>
    <x v="21"/>
    <x v="2"/>
    <s v="Coimbatore"/>
    <x v="10"/>
    <x v="5"/>
    <x v="20"/>
    <n v="6"/>
    <n v="3469.95"/>
    <x v="22"/>
    <n v="20"/>
    <n v="16655.759999999998"/>
    <n v="9486.59"/>
    <n v="7169.17"/>
    <n v="43.04"/>
    <x v="2"/>
    <x v="5"/>
    <s v="No"/>
  </r>
  <r>
    <s v="ORD-10024"/>
    <x v="22"/>
    <x v="1"/>
    <s v="Bhubaneswar"/>
    <x v="8"/>
    <x v="2"/>
    <x v="21"/>
    <n v="43"/>
    <n v="9806.59"/>
    <x v="23"/>
    <n v="15"/>
    <n v="358430.86"/>
    <n v="177370.64"/>
    <n v="181060.22"/>
    <n v="50.51"/>
    <x v="0"/>
    <x v="1"/>
    <s v="No"/>
  </r>
  <r>
    <s v="ORD-10025"/>
    <x v="23"/>
    <x v="0"/>
    <s v="Delhi"/>
    <x v="1"/>
    <x v="5"/>
    <x v="22"/>
    <n v="17"/>
    <n v="1233.1600000000001"/>
    <x v="24"/>
    <n v="10"/>
    <n v="18867.349999999999"/>
    <n v="12532.81"/>
    <n v="6334.54"/>
    <n v="33.57"/>
    <x v="2"/>
    <x v="2"/>
    <s v="No"/>
  </r>
  <r>
    <s v="ORD-10026"/>
    <x v="24"/>
    <x v="1"/>
    <s v="Ranchi"/>
    <x v="11"/>
    <x v="0"/>
    <x v="23"/>
    <n v="36"/>
    <n v="415.3"/>
    <x v="25"/>
    <n v="25"/>
    <n v="11213.1"/>
    <n v="4833.7"/>
    <n v="6379.4"/>
    <n v="56.89"/>
    <x v="2"/>
    <x v="3"/>
    <s v="No"/>
  </r>
  <r>
    <s v="ORD-10027"/>
    <x v="25"/>
    <x v="2"/>
    <s v="Hyderabad"/>
    <x v="5"/>
    <x v="2"/>
    <x v="24"/>
    <n v="22"/>
    <n v="3332.7"/>
    <x v="26"/>
    <n v="25"/>
    <n v="54989.55"/>
    <n v="36066.21"/>
    <n v="18923.34"/>
    <n v="34.409999999999997"/>
    <x v="4"/>
    <x v="2"/>
    <s v="No"/>
  </r>
  <r>
    <s v="ORD-10028"/>
    <x v="26"/>
    <x v="0"/>
    <s v="Delhi"/>
    <x v="6"/>
    <x v="0"/>
    <x v="25"/>
    <n v="18"/>
    <n v="129.38"/>
    <x v="27"/>
    <n v="10"/>
    <n v="2095.96"/>
    <n v="1323.25"/>
    <n v="772.71"/>
    <n v="36.869999999999997"/>
    <x v="2"/>
    <x v="5"/>
    <s v="No"/>
  </r>
  <r>
    <s v="ORD-10029"/>
    <x v="27"/>
    <x v="3"/>
    <s v="Nagpur"/>
    <x v="12"/>
    <x v="4"/>
    <x v="26"/>
    <n v="45"/>
    <n v="54312.57"/>
    <x v="28"/>
    <n v="20"/>
    <n v="1955252.52"/>
    <n v="803234.24"/>
    <n v="1152018.28"/>
    <n v="58.92"/>
    <x v="1"/>
    <x v="0"/>
    <s v="No"/>
  </r>
  <r>
    <s v="ORD-10030"/>
    <x v="28"/>
    <x v="2"/>
    <s v="Chennai"/>
    <x v="4"/>
    <x v="2"/>
    <x v="5"/>
    <n v="3"/>
    <n v="13519.25"/>
    <x v="29"/>
    <n v="5"/>
    <n v="38529.86"/>
    <n v="23295.919999999998"/>
    <n v="15233.94"/>
    <n v="39.54"/>
    <x v="0"/>
    <x v="2"/>
    <s v="No"/>
  </r>
  <r>
    <s v="ORD-10031"/>
    <x v="29"/>
    <x v="3"/>
    <s v="Nagpur"/>
    <x v="4"/>
    <x v="0"/>
    <x v="27"/>
    <n v="16"/>
    <n v="1048.3599999999999"/>
    <x v="30"/>
    <n v="5"/>
    <n v="15935.07"/>
    <n v="10587.66"/>
    <n v="5347.41"/>
    <n v="33.56"/>
    <x v="3"/>
    <x v="4"/>
    <s v="No"/>
  </r>
  <r>
    <s v="ORD-10032"/>
    <x v="30"/>
    <x v="3"/>
    <s v="Pune"/>
    <x v="3"/>
    <x v="2"/>
    <x v="28"/>
    <n v="45"/>
    <n v="1933.6"/>
    <x v="31"/>
    <n v="0"/>
    <n v="87012"/>
    <n v="57217.17"/>
    <n v="29794.83"/>
    <n v="34.24"/>
    <x v="3"/>
    <x v="1"/>
    <s v="No"/>
  </r>
  <r>
    <s v="ORD-10033"/>
    <x v="31"/>
    <x v="2"/>
    <s v="Bangalore"/>
    <x v="13"/>
    <x v="4"/>
    <x v="7"/>
    <n v="22"/>
    <n v="17293.3"/>
    <x v="32"/>
    <n v="0"/>
    <n v="380452.6"/>
    <n v="262537.68"/>
    <n v="117914.92"/>
    <n v="30.99"/>
    <x v="2"/>
    <x v="4"/>
    <s v="No"/>
  </r>
  <r>
    <s v="ORD-10034"/>
    <x v="8"/>
    <x v="1"/>
    <s v="Kolkata"/>
    <x v="8"/>
    <x v="4"/>
    <x v="29"/>
    <n v="38"/>
    <n v="57782.03"/>
    <x v="33"/>
    <n v="10"/>
    <n v="1976145.43"/>
    <n v="813138.71"/>
    <n v="1163006.72"/>
    <n v="58.85"/>
    <x v="4"/>
    <x v="2"/>
    <s v="No"/>
  </r>
  <r>
    <s v="ORD-10035"/>
    <x v="32"/>
    <x v="1"/>
    <s v="Guwahati"/>
    <x v="13"/>
    <x v="5"/>
    <x v="30"/>
    <n v="37"/>
    <n v="1682.61"/>
    <x v="34"/>
    <n v="0"/>
    <n v="62256.57"/>
    <n v="38140.589999999997"/>
    <n v="24115.98"/>
    <n v="38.74"/>
    <x v="1"/>
    <x v="0"/>
    <s v="No"/>
  </r>
  <r>
    <s v="ORD-10036"/>
    <x v="33"/>
    <x v="2"/>
    <s v="Hyderabad"/>
    <x v="11"/>
    <x v="3"/>
    <x v="31"/>
    <n v="22"/>
    <n v="1614.42"/>
    <x v="35"/>
    <n v="25"/>
    <n v="26637.93"/>
    <n v="17431.98"/>
    <n v="9205.9500000000007"/>
    <n v="34.56"/>
    <x v="1"/>
    <x v="2"/>
    <s v="No"/>
  </r>
  <r>
    <s v="ORD-10037"/>
    <x v="34"/>
    <x v="1"/>
    <s v="Guwahati"/>
    <x v="1"/>
    <x v="0"/>
    <x v="0"/>
    <n v="9"/>
    <n v="294.86"/>
    <x v="36"/>
    <n v="25"/>
    <n v="1990.3"/>
    <n v="1357.6"/>
    <n v="632.70000000000005"/>
    <n v="31.79"/>
    <x v="3"/>
    <x v="0"/>
    <s v="No"/>
  </r>
  <r>
    <s v="ORD-10038"/>
    <x v="35"/>
    <x v="3"/>
    <s v="Nagpur"/>
    <x v="14"/>
    <x v="4"/>
    <x v="29"/>
    <n v="14"/>
    <n v="26249.38"/>
    <x v="37"/>
    <n v="20"/>
    <n v="293993.06"/>
    <n v="171103.51"/>
    <n v="122889.55"/>
    <n v="41.8"/>
    <x v="4"/>
    <x v="1"/>
    <s v="No"/>
  </r>
  <r>
    <s v="ORD-10039"/>
    <x v="36"/>
    <x v="2"/>
    <s v="Coimbatore"/>
    <x v="11"/>
    <x v="3"/>
    <x v="19"/>
    <n v="6"/>
    <n v="816.9"/>
    <x v="38"/>
    <n v="25"/>
    <n v="3676.05"/>
    <n v="2168.44"/>
    <n v="1507.61"/>
    <n v="41.01"/>
    <x v="0"/>
    <x v="5"/>
    <s v="No"/>
  </r>
  <r>
    <s v="ORD-10040"/>
    <x v="22"/>
    <x v="2"/>
    <s v="Bangalore"/>
    <x v="7"/>
    <x v="1"/>
    <x v="32"/>
    <n v="16"/>
    <n v="4431.7299999999996"/>
    <x v="39"/>
    <n v="20"/>
    <n v="56726.14"/>
    <n v="37151.160000000003"/>
    <n v="19574.98"/>
    <n v="34.51"/>
    <x v="4"/>
    <x v="1"/>
    <s v="No"/>
  </r>
  <r>
    <s v="ORD-10041"/>
    <x v="37"/>
    <x v="2"/>
    <s v="Kochi"/>
    <x v="0"/>
    <x v="3"/>
    <x v="33"/>
    <n v="10"/>
    <n v="1691.74"/>
    <x v="40"/>
    <n v="0"/>
    <n v="16917.400000000001"/>
    <n v="11297.41"/>
    <n v="5619.99"/>
    <n v="33.22"/>
    <x v="4"/>
    <x v="5"/>
    <s v="No"/>
  </r>
  <r>
    <s v="ORD-10042"/>
    <x v="38"/>
    <x v="3"/>
    <s v="Mumbai"/>
    <x v="4"/>
    <x v="5"/>
    <x v="22"/>
    <n v="8"/>
    <n v="3760.4"/>
    <x v="41"/>
    <n v="15"/>
    <n v="25570.720000000001"/>
    <n v="15349.42"/>
    <n v="10221.299999999999"/>
    <n v="39.97"/>
    <x v="1"/>
    <x v="2"/>
    <s v="No"/>
  </r>
  <r>
    <s v="ORD-10043"/>
    <x v="39"/>
    <x v="3"/>
    <s v="Nagpur"/>
    <x v="6"/>
    <x v="0"/>
    <x v="25"/>
    <n v="36"/>
    <n v="579.41999999999996"/>
    <x v="42"/>
    <n v="5"/>
    <n v="19816.16"/>
    <n v="12347.38"/>
    <n v="7468.78"/>
    <n v="37.69"/>
    <x v="4"/>
    <x v="2"/>
    <s v="No"/>
  </r>
  <r>
    <s v="ORD-10044"/>
    <x v="36"/>
    <x v="1"/>
    <s v="Ranchi"/>
    <x v="14"/>
    <x v="3"/>
    <x v="17"/>
    <n v="29"/>
    <n v="332.09"/>
    <x v="43"/>
    <n v="10"/>
    <n v="8667.5499999999993"/>
    <n v="4076.77"/>
    <n v="4590.78"/>
    <n v="52.97"/>
    <x v="2"/>
    <x v="0"/>
    <s v="No"/>
  </r>
  <r>
    <s v="ORD-10045"/>
    <x v="40"/>
    <x v="2"/>
    <s v="Bangalore"/>
    <x v="5"/>
    <x v="3"/>
    <x v="19"/>
    <n v="14"/>
    <n v="300.94"/>
    <x v="44"/>
    <n v="15"/>
    <n v="3581.19"/>
    <n v="1787.96"/>
    <n v="1793.23"/>
    <n v="50.07"/>
    <x v="4"/>
    <x v="3"/>
    <s v="No"/>
  </r>
  <r>
    <s v="ORD-10046"/>
    <x v="41"/>
    <x v="3"/>
    <s v="Surat"/>
    <x v="6"/>
    <x v="5"/>
    <x v="20"/>
    <n v="49"/>
    <n v="4690.38"/>
    <x v="45"/>
    <n v="15"/>
    <n v="195354.33"/>
    <n v="78487.28"/>
    <n v="116867.05"/>
    <n v="59.82"/>
    <x v="2"/>
    <x v="1"/>
    <s v="No"/>
  </r>
  <r>
    <s v="ORD-10047"/>
    <x v="42"/>
    <x v="3"/>
    <s v="Nagpur"/>
    <x v="9"/>
    <x v="0"/>
    <x v="4"/>
    <n v="15"/>
    <n v="385.69"/>
    <x v="46"/>
    <n v="15"/>
    <n v="4917.55"/>
    <n v="2009.84"/>
    <n v="2907.71"/>
    <n v="59.13"/>
    <x v="4"/>
    <x v="4"/>
    <s v="No"/>
  </r>
  <r>
    <s v="ORD-10048"/>
    <x v="43"/>
    <x v="3"/>
    <s v="Pune"/>
    <x v="4"/>
    <x v="5"/>
    <x v="20"/>
    <n v="26"/>
    <n v="4816.76"/>
    <x v="47"/>
    <n v="25"/>
    <n v="93926.82"/>
    <n v="38334.410000000003"/>
    <n v="55592.41"/>
    <n v="59.19"/>
    <x v="4"/>
    <x v="5"/>
    <s v="No"/>
  </r>
  <r>
    <s v="ORD-10049"/>
    <x v="44"/>
    <x v="2"/>
    <s v="Chennai"/>
    <x v="2"/>
    <x v="2"/>
    <x v="21"/>
    <n v="14"/>
    <n v="7011.35"/>
    <x v="48"/>
    <n v="10"/>
    <n v="88343.01"/>
    <n v="55512"/>
    <n v="32831.01"/>
    <n v="37.159999999999997"/>
    <x v="2"/>
    <x v="1"/>
    <s v="No"/>
  </r>
  <r>
    <s v="ORD-10050"/>
    <x v="45"/>
    <x v="0"/>
    <s v="Lucknow"/>
    <x v="2"/>
    <x v="4"/>
    <x v="14"/>
    <n v="15"/>
    <n v="39288.53"/>
    <x v="49"/>
    <n v="25"/>
    <n v="441995.96"/>
    <n v="182136.56"/>
    <n v="259859.4"/>
    <n v="58.79"/>
    <x v="3"/>
    <x v="5"/>
    <s v="No"/>
  </r>
  <r>
    <s v="ORD-10051"/>
    <x v="46"/>
    <x v="2"/>
    <s v="Bangalore"/>
    <x v="11"/>
    <x v="1"/>
    <x v="34"/>
    <n v="8"/>
    <n v="2646.87"/>
    <x v="50"/>
    <n v="5"/>
    <n v="20116.21"/>
    <n v="10852.9"/>
    <n v="9263.31"/>
    <n v="46.05"/>
    <x v="2"/>
    <x v="5"/>
    <s v="No"/>
  </r>
  <r>
    <s v="ORD-10052"/>
    <x v="47"/>
    <x v="0"/>
    <s v="Chandigarh"/>
    <x v="10"/>
    <x v="2"/>
    <x v="35"/>
    <n v="2"/>
    <n v="13958.2"/>
    <x v="51"/>
    <n v="20"/>
    <n v="22333.119999999999"/>
    <n v="13471.43"/>
    <n v="8861.69"/>
    <n v="39.68"/>
    <x v="4"/>
    <x v="4"/>
    <s v="No"/>
  </r>
  <r>
    <s v="ORD-10053"/>
    <x v="48"/>
    <x v="2"/>
    <s v="Chennai"/>
    <x v="6"/>
    <x v="0"/>
    <x v="0"/>
    <n v="44"/>
    <n v="752.46"/>
    <x v="52"/>
    <n v="0"/>
    <n v="33108.239999999998"/>
    <n v="21151.8"/>
    <n v="11956.44"/>
    <n v="36.11"/>
    <x v="0"/>
    <x v="2"/>
    <s v="No"/>
  </r>
  <r>
    <s v="ORD-10054"/>
    <x v="49"/>
    <x v="1"/>
    <s v="Kolkata"/>
    <x v="7"/>
    <x v="5"/>
    <x v="36"/>
    <n v="27"/>
    <n v="6614.18"/>
    <x v="53"/>
    <n v="0"/>
    <n v="178582.86"/>
    <n v="94659.1"/>
    <n v="83923.76"/>
    <n v="46.99"/>
    <x v="4"/>
    <x v="4"/>
    <s v="No"/>
  </r>
  <r>
    <s v="ORD-10055"/>
    <x v="50"/>
    <x v="2"/>
    <s v="Coimbatore"/>
    <x v="10"/>
    <x v="0"/>
    <x v="0"/>
    <n v="35"/>
    <n v="947.6"/>
    <x v="54"/>
    <n v="15"/>
    <n v="28191.1"/>
    <n v="14960.24"/>
    <n v="13230.86"/>
    <n v="46.93"/>
    <x v="2"/>
    <x v="2"/>
    <s v="No"/>
  </r>
  <r>
    <s v="ORD-10056"/>
    <x v="51"/>
    <x v="0"/>
    <s v="Jaipur"/>
    <x v="3"/>
    <x v="3"/>
    <x v="17"/>
    <n v="30"/>
    <n v="1489.15"/>
    <x v="55"/>
    <n v="25"/>
    <n v="33505.879999999997"/>
    <n v="17211.86"/>
    <n v="16294.02"/>
    <n v="48.63"/>
    <x v="4"/>
    <x v="2"/>
    <s v="No"/>
  </r>
  <r>
    <s v="ORD-10057"/>
    <x v="52"/>
    <x v="2"/>
    <s v="Hyderabad"/>
    <x v="14"/>
    <x v="2"/>
    <x v="5"/>
    <n v="39"/>
    <n v="10622.34"/>
    <x v="56"/>
    <n v="10"/>
    <n v="372844.13"/>
    <n v="211304.68"/>
    <n v="161539.45000000001"/>
    <n v="43.33"/>
    <x v="3"/>
    <x v="3"/>
    <s v="No"/>
  </r>
  <r>
    <s v="ORD-10058"/>
    <x v="53"/>
    <x v="3"/>
    <s v="Surat"/>
    <x v="5"/>
    <x v="5"/>
    <x v="22"/>
    <n v="31"/>
    <n v="5238.04"/>
    <x v="57"/>
    <n v="15"/>
    <n v="138022.35"/>
    <n v="73766.37"/>
    <n v="64255.98"/>
    <n v="46.55"/>
    <x v="0"/>
    <x v="2"/>
    <s v="No"/>
  </r>
  <r>
    <s v="ORD-10059"/>
    <x v="54"/>
    <x v="2"/>
    <s v="Hyderabad"/>
    <x v="9"/>
    <x v="0"/>
    <x v="37"/>
    <n v="36"/>
    <n v="674.63"/>
    <x v="58"/>
    <n v="15"/>
    <n v="20643.68"/>
    <n v="14429.71"/>
    <n v="6213.97"/>
    <n v="30.1"/>
    <x v="2"/>
    <x v="2"/>
    <s v="No"/>
  </r>
  <r>
    <s v="ORD-10060"/>
    <x v="55"/>
    <x v="1"/>
    <s v="Patna"/>
    <x v="12"/>
    <x v="2"/>
    <x v="24"/>
    <n v="47"/>
    <n v="3171.36"/>
    <x v="59"/>
    <n v="0"/>
    <n v="149053.92000000001"/>
    <n v="92840.37"/>
    <n v="56213.55"/>
    <n v="37.71"/>
    <x v="3"/>
    <x v="5"/>
    <s v="No"/>
  </r>
  <r>
    <s v="ORD-10061"/>
    <x v="56"/>
    <x v="3"/>
    <s v="Ahmedabad"/>
    <x v="12"/>
    <x v="0"/>
    <x v="0"/>
    <n v="13"/>
    <n v="411.8"/>
    <x v="60"/>
    <n v="10"/>
    <n v="4818.0600000000004"/>
    <n v="2186.59"/>
    <n v="2631.47"/>
    <n v="54.62"/>
    <x v="1"/>
    <x v="5"/>
    <s v="No"/>
  </r>
  <r>
    <s v="ORD-10062"/>
    <x v="57"/>
    <x v="0"/>
    <s v="Agra"/>
    <x v="11"/>
    <x v="2"/>
    <x v="28"/>
    <n v="49"/>
    <n v="7541.37"/>
    <x v="61"/>
    <n v="0"/>
    <n v="369527.13"/>
    <n v="211450.54"/>
    <n v="158076.59"/>
    <n v="42.78"/>
    <x v="4"/>
    <x v="1"/>
    <s v="No"/>
  </r>
  <r>
    <s v="ORD-10063"/>
    <x v="58"/>
    <x v="0"/>
    <s v="Jaipur"/>
    <x v="6"/>
    <x v="3"/>
    <x v="31"/>
    <n v="5"/>
    <n v="1091.6600000000001"/>
    <x v="62"/>
    <n v="0"/>
    <n v="5458.3"/>
    <n v="3128.19"/>
    <n v="2330.11"/>
    <n v="42.69"/>
    <x v="0"/>
    <x v="5"/>
    <s v="No"/>
  </r>
  <r>
    <s v="ORD-10064"/>
    <x v="59"/>
    <x v="1"/>
    <s v="Kolkata"/>
    <x v="1"/>
    <x v="1"/>
    <x v="10"/>
    <n v="49"/>
    <n v="2018.74"/>
    <x v="63"/>
    <n v="20"/>
    <n v="79134.61"/>
    <n v="50426.33"/>
    <n v="28708.28"/>
    <n v="36.28"/>
    <x v="1"/>
    <x v="1"/>
    <s v="No"/>
  </r>
  <r>
    <s v="ORD-10065"/>
    <x v="60"/>
    <x v="3"/>
    <s v="Ahmedabad"/>
    <x v="14"/>
    <x v="5"/>
    <x v="38"/>
    <n v="37"/>
    <n v="5044.01"/>
    <x v="64"/>
    <n v="20"/>
    <n v="149302.70000000001"/>
    <n v="102725.13"/>
    <n v="46577.57"/>
    <n v="31.2"/>
    <x v="3"/>
    <x v="4"/>
    <s v="No"/>
  </r>
  <r>
    <s v="ORD-10066"/>
    <x v="61"/>
    <x v="0"/>
    <s v="Chandigarh"/>
    <x v="1"/>
    <x v="1"/>
    <x v="9"/>
    <n v="5"/>
    <n v="915.26"/>
    <x v="65"/>
    <n v="15"/>
    <n v="3889.86"/>
    <n v="2081.66"/>
    <n v="1808.2"/>
    <n v="46.48"/>
    <x v="4"/>
    <x v="2"/>
    <s v="Yes"/>
  </r>
  <r>
    <s v="ORD-10067"/>
    <x v="62"/>
    <x v="1"/>
    <s v="Patna"/>
    <x v="12"/>
    <x v="0"/>
    <x v="3"/>
    <n v="44"/>
    <n v="341.43"/>
    <x v="66"/>
    <n v="10"/>
    <n v="13520.63"/>
    <n v="8603.83"/>
    <n v="4916.8"/>
    <n v="36.369999999999997"/>
    <x v="1"/>
    <x v="4"/>
    <s v="No"/>
  </r>
  <r>
    <s v="ORD-10068"/>
    <x v="63"/>
    <x v="2"/>
    <s v="Kochi"/>
    <x v="11"/>
    <x v="4"/>
    <x v="7"/>
    <n v="10"/>
    <n v="54577.96"/>
    <x v="67"/>
    <n v="5"/>
    <n v="518490.62"/>
    <n v="218503.85"/>
    <n v="299986.77"/>
    <n v="57.86"/>
    <x v="2"/>
    <x v="0"/>
    <s v="No"/>
  </r>
  <r>
    <s v="ORD-10069"/>
    <x v="64"/>
    <x v="1"/>
    <s v="Guwahati"/>
    <x v="5"/>
    <x v="4"/>
    <x v="39"/>
    <n v="20"/>
    <n v="42224.23"/>
    <x v="68"/>
    <n v="10"/>
    <n v="760036.14"/>
    <n v="418127.54"/>
    <n v="341908.6"/>
    <n v="44.99"/>
    <x v="4"/>
    <x v="3"/>
    <s v="No"/>
  </r>
  <r>
    <s v="ORD-10070"/>
    <x v="65"/>
    <x v="3"/>
    <s v="Ahmedabad"/>
    <x v="7"/>
    <x v="5"/>
    <x v="40"/>
    <n v="6"/>
    <n v="1985.61"/>
    <x v="69"/>
    <n v="25"/>
    <n v="8935.24"/>
    <n v="5814.94"/>
    <n v="3120.3"/>
    <n v="34.92"/>
    <x v="1"/>
    <x v="3"/>
    <s v="No"/>
  </r>
  <r>
    <s v="ORD-10071"/>
    <x v="66"/>
    <x v="1"/>
    <s v="Ranchi"/>
    <x v="9"/>
    <x v="4"/>
    <x v="41"/>
    <n v="34"/>
    <n v="39369.360000000001"/>
    <x v="70"/>
    <n v="10"/>
    <n v="1204702.42"/>
    <n v="547473.09"/>
    <n v="657229.32999999996"/>
    <n v="54.56"/>
    <x v="4"/>
    <x v="4"/>
    <s v="No"/>
  </r>
  <r>
    <s v="ORD-10072"/>
    <x v="67"/>
    <x v="0"/>
    <s v="Lucknow"/>
    <x v="2"/>
    <x v="2"/>
    <x v="21"/>
    <n v="21"/>
    <n v="10167.459999999999"/>
    <x v="71"/>
    <n v="5"/>
    <n v="202840.83"/>
    <n v="101205.63"/>
    <n v="101635.2"/>
    <n v="50.11"/>
    <x v="4"/>
    <x v="2"/>
    <s v="No"/>
  </r>
  <r>
    <s v="ORD-10073"/>
    <x v="68"/>
    <x v="3"/>
    <s v="Nagpur"/>
    <x v="12"/>
    <x v="4"/>
    <x v="39"/>
    <n v="21"/>
    <n v="15742.01"/>
    <x v="72"/>
    <n v="0"/>
    <n v="330582.21000000002"/>
    <n v="228450.63"/>
    <n v="102131.58"/>
    <n v="30.89"/>
    <x v="1"/>
    <x v="3"/>
    <s v="No"/>
  </r>
  <r>
    <s v="ORD-10074"/>
    <x v="69"/>
    <x v="3"/>
    <s v="Surat"/>
    <x v="1"/>
    <x v="4"/>
    <x v="7"/>
    <n v="24"/>
    <n v="37659.93"/>
    <x v="73"/>
    <n v="15"/>
    <n v="768262.57"/>
    <n v="451448.47"/>
    <n v="316814.09999999998"/>
    <n v="41.24"/>
    <x v="3"/>
    <x v="2"/>
    <s v="No"/>
  </r>
  <r>
    <s v="ORD-10075"/>
    <x v="70"/>
    <x v="1"/>
    <s v="Guwahati"/>
    <x v="12"/>
    <x v="0"/>
    <x v="3"/>
    <n v="2"/>
    <n v="1169.92"/>
    <x v="74"/>
    <n v="20"/>
    <n v="1871.87"/>
    <n v="1197.6099999999999"/>
    <n v="674.26"/>
    <n v="36.020000000000003"/>
    <x v="3"/>
    <x v="2"/>
    <s v="No"/>
  </r>
  <r>
    <s v="ORD-10076"/>
    <x v="71"/>
    <x v="3"/>
    <s v="Mumbai"/>
    <x v="9"/>
    <x v="1"/>
    <x v="10"/>
    <n v="8"/>
    <n v="3002.77"/>
    <x v="75"/>
    <n v="5"/>
    <n v="22821.05"/>
    <n v="12540.46"/>
    <n v="10280.59"/>
    <n v="45.05"/>
    <x v="1"/>
    <x v="4"/>
    <s v="No"/>
  </r>
  <r>
    <s v="ORD-10077"/>
    <x v="72"/>
    <x v="3"/>
    <s v="Surat"/>
    <x v="1"/>
    <x v="1"/>
    <x v="34"/>
    <n v="10"/>
    <n v="1880.24"/>
    <x v="76"/>
    <n v="20"/>
    <n v="15041.92"/>
    <n v="8310.24"/>
    <n v="6731.68"/>
    <n v="44.75"/>
    <x v="0"/>
    <x v="2"/>
    <s v="No"/>
  </r>
  <r>
    <s v="ORD-10078"/>
    <x v="73"/>
    <x v="3"/>
    <s v="Ahmedabad"/>
    <x v="6"/>
    <x v="5"/>
    <x v="40"/>
    <n v="1"/>
    <n v="2406.14"/>
    <x v="77"/>
    <n v="10"/>
    <n v="2165.5300000000002"/>
    <n v="1410.29"/>
    <n v="755.24"/>
    <n v="34.880000000000003"/>
    <x v="4"/>
    <x v="5"/>
    <s v="No"/>
  </r>
  <r>
    <s v="ORD-10079"/>
    <x v="74"/>
    <x v="3"/>
    <s v="Ahmedabad"/>
    <x v="9"/>
    <x v="2"/>
    <x v="21"/>
    <n v="21"/>
    <n v="13089.66"/>
    <x v="78"/>
    <n v="25"/>
    <n v="206162.14"/>
    <n v="97234.65"/>
    <n v="108927.49"/>
    <n v="52.84"/>
    <x v="3"/>
    <x v="1"/>
    <s v="Yes"/>
  </r>
  <r>
    <s v="ORD-10080"/>
    <x v="75"/>
    <x v="3"/>
    <s v="Surat"/>
    <x v="9"/>
    <x v="3"/>
    <x v="19"/>
    <n v="3"/>
    <n v="446.68"/>
    <x v="79"/>
    <n v="20"/>
    <n v="1072.03"/>
    <n v="535.58000000000004"/>
    <n v="536.45000000000005"/>
    <n v="50.04"/>
    <x v="4"/>
    <x v="3"/>
    <s v="No"/>
  </r>
  <r>
    <s v="ORD-10081"/>
    <x v="76"/>
    <x v="3"/>
    <s v="Mumbai"/>
    <x v="13"/>
    <x v="0"/>
    <x v="27"/>
    <n v="42"/>
    <n v="1166.3499999999999"/>
    <x v="80"/>
    <n v="0"/>
    <n v="48986.7"/>
    <n v="26494.32"/>
    <n v="22492.38"/>
    <n v="45.92"/>
    <x v="2"/>
    <x v="0"/>
    <s v="No"/>
  </r>
  <r>
    <s v="ORD-10082"/>
    <x v="77"/>
    <x v="0"/>
    <s v="Jaipur"/>
    <x v="2"/>
    <x v="0"/>
    <x v="25"/>
    <n v="41"/>
    <n v="884.96"/>
    <x v="81"/>
    <n v="15"/>
    <n v="30840.86"/>
    <n v="20407.86"/>
    <n v="10433"/>
    <n v="33.83"/>
    <x v="1"/>
    <x v="3"/>
    <s v="No"/>
  </r>
  <r>
    <s v="ORD-10083"/>
    <x v="78"/>
    <x v="1"/>
    <s v="Bhubaneswar"/>
    <x v="13"/>
    <x v="0"/>
    <x v="16"/>
    <n v="7"/>
    <n v="931.61"/>
    <x v="82"/>
    <n v="25"/>
    <n v="4890.95"/>
    <n v="3236.7"/>
    <n v="1654.25"/>
    <n v="33.82"/>
    <x v="3"/>
    <x v="4"/>
    <s v="No"/>
  </r>
  <r>
    <s v="ORD-10084"/>
    <x v="79"/>
    <x v="0"/>
    <s v="Delhi"/>
    <x v="14"/>
    <x v="2"/>
    <x v="42"/>
    <n v="23"/>
    <n v="5841.42"/>
    <x v="83"/>
    <n v="5"/>
    <n v="127635.03"/>
    <n v="60404.46"/>
    <n v="67230.570000000007"/>
    <n v="52.67"/>
    <x v="1"/>
    <x v="4"/>
    <s v="No"/>
  </r>
  <r>
    <s v="ORD-10085"/>
    <x v="80"/>
    <x v="2"/>
    <s v="Bangalore"/>
    <x v="10"/>
    <x v="4"/>
    <x v="43"/>
    <n v="44"/>
    <n v="15057.12"/>
    <x v="84"/>
    <n v="20"/>
    <n v="530010.62"/>
    <n v="234760.42"/>
    <n v="295250.2"/>
    <n v="55.71"/>
    <x v="2"/>
    <x v="1"/>
    <s v="No"/>
  </r>
  <r>
    <s v="ORD-10086"/>
    <x v="81"/>
    <x v="0"/>
    <s v="Lucknow"/>
    <x v="12"/>
    <x v="2"/>
    <x v="28"/>
    <n v="29"/>
    <n v="14197.7"/>
    <x v="85"/>
    <n v="20"/>
    <n v="329386.64"/>
    <n v="161315.88"/>
    <n v="168070.76"/>
    <n v="51.03"/>
    <x v="2"/>
    <x v="1"/>
    <s v="No"/>
  </r>
  <r>
    <s v="ORD-10087"/>
    <x v="82"/>
    <x v="2"/>
    <s v="Kochi"/>
    <x v="0"/>
    <x v="3"/>
    <x v="31"/>
    <n v="25"/>
    <n v="1494.02"/>
    <x v="86"/>
    <n v="20"/>
    <n v="29880.400000000001"/>
    <n v="14604.4"/>
    <n v="15276"/>
    <n v="51.12"/>
    <x v="2"/>
    <x v="3"/>
    <s v="No"/>
  </r>
  <r>
    <s v="ORD-10088"/>
    <x v="83"/>
    <x v="3"/>
    <s v="Ahmedabad"/>
    <x v="4"/>
    <x v="4"/>
    <x v="14"/>
    <n v="39"/>
    <n v="44914.19"/>
    <x v="87"/>
    <n v="10"/>
    <n v="1576488.07"/>
    <n v="997479.15"/>
    <n v="579008.92000000004"/>
    <n v="36.729999999999997"/>
    <x v="1"/>
    <x v="2"/>
    <s v="No"/>
  </r>
  <r>
    <s v="ORD-10089"/>
    <x v="84"/>
    <x v="2"/>
    <s v="Coimbatore"/>
    <x v="11"/>
    <x v="2"/>
    <x v="28"/>
    <n v="7"/>
    <n v="13584.86"/>
    <x v="88"/>
    <n v="25"/>
    <n v="71320.509999999995"/>
    <n v="29371.7"/>
    <n v="41948.81"/>
    <n v="58.82"/>
    <x v="0"/>
    <x v="0"/>
    <s v="No"/>
  </r>
  <r>
    <s v="ORD-10090"/>
    <x v="85"/>
    <x v="2"/>
    <s v="Chennai"/>
    <x v="5"/>
    <x v="2"/>
    <x v="5"/>
    <n v="27"/>
    <n v="2923.13"/>
    <x v="89"/>
    <n v="5"/>
    <n v="74978.28"/>
    <n v="47682.73"/>
    <n v="27295.55"/>
    <n v="36.4"/>
    <x v="1"/>
    <x v="0"/>
    <s v="No"/>
  </r>
  <r>
    <s v="ORD-10091"/>
    <x v="86"/>
    <x v="2"/>
    <s v="Hyderabad"/>
    <x v="5"/>
    <x v="3"/>
    <x v="6"/>
    <n v="22"/>
    <n v="2039.95"/>
    <x v="90"/>
    <n v="15"/>
    <n v="38147.07"/>
    <n v="26278.3"/>
    <n v="11868.77"/>
    <n v="31.11"/>
    <x v="3"/>
    <x v="4"/>
    <s v="No"/>
  </r>
  <r>
    <s v="ORD-10092"/>
    <x v="87"/>
    <x v="3"/>
    <s v="Nagpur"/>
    <x v="3"/>
    <x v="2"/>
    <x v="35"/>
    <n v="26"/>
    <n v="553.91"/>
    <x v="91"/>
    <n v="20"/>
    <n v="11521.33"/>
    <n v="5035.7"/>
    <n v="6485.63"/>
    <n v="56.29"/>
    <x v="2"/>
    <x v="0"/>
    <s v="No"/>
  </r>
  <r>
    <s v="ORD-10093"/>
    <x v="88"/>
    <x v="1"/>
    <s v="Kolkata"/>
    <x v="9"/>
    <x v="0"/>
    <x v="4"/>
    <n v="2"/>
    <n v="773.89"/>
    <x v="92"/>
    <n v="20"/>
    <n v="1238.22"/>
    <n v="617.13"/>
    <n v="621.09"/>
    <n v="50.16"/>
    <x v="3"/>
    <x v="4"/>
    <s v="No"/>
  </r>
  <r>
    <s v="ORD-10094"/>
    <x v="89"/>
    <x v="3"/>
    <s v="Ahmedabad"/>
    <x v="12"/>
    <x v="0"/>
    <x v="25"/>
    <n v="9"/>
    <n v="130.79"/>
    <x v="93"/>
    <n v="0"/>
    <n v="1177.1099999999999"/>
    <n v="578.33000000000004"/>
    <n v="598.78"/>
    <n v="50.87"/>
    <x v="0"/>
    <x v="3"/>
    <s v="No"/>
  </r>
  <r>
    <s v="ORD-10095"/>
    <x v="90"/>
    <x v="2"/>
    <s v="Kochi"/>
    <x v="11"/>
    <x v="3"/>
    <x v="13"/>
    <n v="48"/>
    <n v="1786.74"/>
    <x v="94"/>
    <n v="20"/>
    <n v="68610.820000000007"/>
    <n v="36071.32"/>
    <n v="32539.5"/>
    <n v="47.43"/>
    <x v="4"/>
    <x v="4"/>
    <s v="No"/>
  </r>
  <r>
    <s v="ORD-10096"/>
    <x v="91"/>
    <x v="3"/>
    <s v="Nagpur"/>
    <x v="7"/>
    <x v="3"/>
    <x v="6"/>
    <n v="45"/>
    <n v="1020.75"/>
    <x v="95"/>
    <n v="15"/>
    <n v="39043.69"/>
    <n v="20826.25"/>
    <n v="18217.439999999999"/>
    <n v="46.66"/>
    <x v="2"/>
    <x v="3"/>
    <s v="No"/>
  </r>
  <r>
    <s v="ORD-10097"/>
    <x v="92"/>
    <x v="1"/>
    <s v="Ranchi"/>
    <x v="7"/>
    <x v="0"/>
    <x v="37"/>
    <n v="26"/>
    <n v="388.99"/>
    <x v="96"/>
    <n v="0"/>
    <n v="10113.74"/>
    <n v="6924.91"/>
    <n v="3188.83"/>
    <n v="31.53"/>
    <x v="0"/>
    <x v="4"/>
    <s v="No"/>
  </r>
  <r>
    <s v="ORD-10098"/>
    <x v="93"/>
    <x v="0"/>
    <s v="Delhi"/>
    <x v="8"/>
    <x v="2"/>
    <x v="24"/>
    <n v="37"/>
    <n v="3356.26"/>
    <x v="97"/>
    <n v="20"/>
    <n v="99345.3"/>
    <n v="45912.15"/>
    <n v="53433.15"/>
    <n v="53.79"/>
    <x v="3"/>
    <x v="2"/>
    <s v="No"/>
  </r>
  <r>
    <s v="ORD-10099"/>
    <x v="94"/>
    <x v="0"/>
    <s v="Jaipur"/>
    <x v="1"/>
    <x v="1"/>
    <x v="9"/>
    <n v="17"/>
    <n v="3643.68"/>
    <x v="98"/>
    <n v="0"/>
    <n v="61942.559999999998"/>
    <n v="37061.300000000003"/>
    <n v="24881.26"/>
    <n v="40.17"/>
    <x v="3"/>
    <x v="3"/>
    <s v="No"/>
  </r>
  <r>
    <s v="ORD-10100"/>
    <x v="95"/>
    <x v="2"/>
    <s v="Coimbatore"/>
    <x v="8"/>
    <x v="2"/>
    <x v="42"/>
    <n v="17"/>
    <n v="1117.6500000000001"/>
    <x v="99"/>
    <n v="25"/>
    <n v="14250.04"/>
    <n v="7499.63"/>
    <n v="6750.41"/>
    <n v="47.37"/>
    <x v="0"/>
    <x v="1"/>
    <s v="No"/>
  </r>
  <r>
    <s v="ORD-10101"/>
    <x v="15"/>
    <x v="1"/>
    <s v="Ranchi"/>
    <x v="9"/>
    <x v="5"/>
    <x v="30"/>
    <n v="33"/>
    <n v="1928.09"/>
    <x v="100"/>
    <n v="20"/>
    <n v="50901.58"/>
    <n v="21022.84"/>
    <n v="29878.74"/>
    <n v="58.7"/>
    <x v="1"/>
    <x v="2"/>
    <s v="No"/>
  </r>
  <r>
    <s v="ORD-10102"/>
    <x v="96"/>
    <x v="0"/>
    <s v="Delhi"/>
    <x v="13"/>
    <x v="3"/>
    <x v="33"/>
    <n v="44"/>
    <n v="403.71"/>
    <x v="101"/>
    <n v="25"/>
    <n v="13322.43"/>
    <n v="8964.7999999999993"/>
    <n v="4357.63"/>
    <n v="32.71"/>
    <x v="0"/>
    <x v="2"/>
    <s v="No"/>
  </r>
  <r>
    <s v="ORD-10103"/>
    <x v="97"/>
    <x v="0"/>
    <s v="Chandigarh"/>
    <x v="13"/>
    <x v="2"/>
    <x v="5"/>
    <n v="39"/>
    <n v="8122.66"/>
    <x v="102"/>
    <n v="15"/>
    <n v="269266.18"/>
    <n v="148544.81"/>
    <n v="120721.37"/>
    <n v="44.83"/>
    <x v="0"/>
    <x v="4"/>
    <s v="No"/>
  </r>
  <r>
    <s v="ORD-10104"/>
    <x v="98"/>
    <x v="2"/>
    <s v="Kochi"/>
    <x v="13"/>
    <x v="3"/>
    <x v="17"/>
    <n v="22"/>
    <n v="2094.44"/>
    <x v="103"/>
    <n v="15"/>
    <n v="39166.03"/>
    <n v="20554.21"/>
    <n v="18611.82"/>
    <n v="47.52"/>
    <x v="2"/>
    <x v="1"/>
    <s v="No"/>
  </r>
  <r>
    <s v="ORD-10105"/>
    <x v="99"/>
    <x v="1"/>
    <s v="Patna"/>
    <x v="12"/>
    <x v="1"/>
    <x v="34"/>
    <n v="6"/>
    <n v="3785.03"/>
    <x v="104"/>
    <n v="0"/>
    <n v="22710.18"/>
    <n v="12026.47"/>
    <n v="10683.71"/>
    <n v="47.04"/>
    <x v="3"/>
    <x v="0"/>
    <s v="No"/>
  </r>
  <r>
    <s v="ORD-10106"/>
    <x v="69"/>
    <x v="1"/>
    <s v="Kolkata"/>
    <x v="6"/>
    <x v="3"/>
    <x v="13"/>
    <n v="43"/>
    <n v="2361.66"/>
    <x v="105"/>
    <n v="15"/>
    <n v="86318.67"/>
    <n v="57007.24"/>
    <n v="29311.43"/>
    <n v="33.96"/>
    <x v="2"/>
    <x v="0"/>
    <s v="No"/>
  </r>
  <r>
    <s v="ORD-10107"/>
    <x v="100"/>
    <x v="0"/>
    <s v="Agra"/>
    <x v="8"/>
    <x v="5"/>
    <x v="22"/>
    <n v="43"/>
    <n v="3961.08"/>
    <x v="106"/>
    <n v="0"/>
    <n v="170326.44"/>
    <n v="86020.68"/>
    <n v="84305.76"/>
    <n v="49.5"/>
    <x v="2"/>
    <x v="3"/>
    <s v="No"/>
  </r>
  <r>
    <s v="ORD-10108"/>
    <x v="101"/>
    <x v="2"/>
    <s v="Kochi"/>
    <x v="10"/>
    <x v="5"/>
    <x v="20"/>
    <n v="43"/>
    <n v="6669.79"/>
    <x v="107"/>
    <n v="10"/>
    <n v="258120.87"/>
    <n v="105490.37"/>
    <n v="152630.5"/>
    <n v="59.13"/>
    <x v="2"/>
    <x v="2"/>
    <s v="No"/>
  </r>
  <r>
    <s v="ORD-10109"/>
    <x v="102"/>
    <x v="2"/>
    <s v="Bangalore"/>
    <x v="12"/>
    <x v="5"/>
    <x v="38"/>
    <n v="10"/>
    <n v="5979.56"/>
    <x v="108"/>
    <n v="0"/>
    <n v="59795.6"/>
    <n v="25564.25"/>
    <n v="34231.35"/>
    <n v="57.25"/>
    <x v="3"/>
    <x v="1"/>
    <s v="No"/>
  </r>
  <r>
    <s v="ORD-10110"/>
    <x v="103"/>
    <x v="1"/>
    <s v="Bhubaneswar"/>
    <x v="5"/>
    <x v="2"/>
    <x v="44"/>
    <n v="21"/>
    <n v="11730.64"/>
    <x v="109"/>
    <n v="20"/>
    <n v="197074.75"/>
    <n v="114080.1"/>
    <n v="82994.649999999994"/>
    <n v="42.11"/>
    <x v="3"/>
    <x v="5"/>
    <s v="No"/>
  </r>
  <r>
    <s v="ORD-10111"/>
    <x v="104"/>
    <x v="0"/>
    <s v="Delhi"/>
    <x v="11"/>
    <x v="2"/>
    <x v="11"/>
    <n v="28"/>
    <n v="7464.94"/>
    <x v="110"/>
    <n v="15"/>
    <n v="177665.57"/>
    <n v="93142.080000000002"/>
    <n v="84523.49"/>
    <n v="47.57"/>
    <x v="1"/>
    <x v="3"/>
    <s v="No"/>
  </r>
  <r>
    <s v="ORD-10112"/>
    <x v="105"/>
    <x v="0"/>
    <s v="Jaipur"/>
    <x v="1"/>
    <x v="0"/>
    <x v="3"/>
    <n v="43"/>
    <n v="425.43"/>
    <x v="111"/>
    <n v="5"/>
    <n v="17378.82"/>
    <n v="9012.2900000000009"/>
    <n v="8366.5300000000007"/>
    <n v="48.14"/>
    <x v="0"/>
    <x v="3"/>
    <s v="No"/>
  </r>
  <r>
    <s v="ORD-10113"/>
    <x v="106"/>
    <x v="2"/>
    <s v="Bangalore"/>
    <x v="2"/>
    <x v="2"/>
    <x v="44"/>
    <n v="8"/>
    <n v="463.24"/>
    <x v="112"/>
    <n v="25"/>
    <n v="2779.44"/>
    <n v="1470.87"/>
    <n v="1308.57"/>
    <n v="47.08"/>
    <x v="4"/>
    <x v="0"/>
    <s v="No"/>
  </r>
  <r>
    <s v="ORD-10114"/>
    <x v="65"/>
    <x v="1"/>
    <s v="Kolkata"/>
    <x v="13"/>
    <x v="3"/>
    <x v="45"/>
    <n v="2"/>
    <n v="1230.42"/>
    <x v="113"/>
    <n v="0"/>
    <n v="2460.84"/>
    <n v="1620.79"/>
    <n v="840.05"/>
    <n v="34.14"/>
    <x v="4"/>
    <x v="0"/>
    <s v="No"/>
  </r>
  <r>
    <s v="ORD-10115"/>
    <x v="55"/>
    <x v="3"/>
    <s v="Ahmedabad"/>
    <x v="7"/>
    <x v="4"/>
    <x v="43"/>
    <n v="21"/>
    <n v="10974.89"/>
    <x v="114"/>
    <n v="20"/>
    <n v="184378.15"/>
    <n v="99200.8"/>
    <n v="85177.35"/>
    <n v="46.2"/>
    <x v="2"/>
    <x v="3"/>
    <s v="No"/>
  </r>
  <r>
    <s v="ORD-10116"/>
    <x v="107"/>
    <x v="0"/>
    <s v="Chandigarh"/>
    <x v="1"/>
    <x v="3"/>
    <x v="33"/>
    <n v="6"/>
    <n v="1080.05"/>
    <x v="115"/>
    <n v="10"/>
    <n v="5832.27"/>
    <n v="3637.83"/>
    <n v="2194.44"/>
    <n v="37.630000000000003"/>
    <x v="2"/>
    <x v="5"/>
    <s v="No"/>
  </r>
  <r>
    <s v="ORD-10117"/>
    <x v="108"/>
    <x v="0"/>
    <s v="Agra"/>
    <x v="4"/>
    <x v="5"/>
    <x v="22"/>
    <n v="50"/>
    <n v="2925.13"/>
    <x v="116"/>
    <n v="25"/>
    <n v="109692.38"/>
    <n v="75409.89"/>
    <n v="34282.49"/>
    <n v="31.25"/>
    <x v="3"/>
    <x v="5"/>
    <s v="No"/>
  </r>
  <r>
    <s v="ORD-10118"/>
    <x v="109"/>
    <x v="1"/>
    <s v="Bhubaneswar"/>
    <x v="3"/>
    <x v="1"/>
    <x v="9"/>
    <n v="49"/>
    <n v="3035.91"/>
    <x v="117"/>
    <n v="5"/>
    <n v="141321.60999999999"/>
    <n v="96860.09"/>
    <n v="44461.52"/>
    <n v="31.46"/>
    <x v="4"/>
    <x v="1"/>
    <s v="No"/>
  </r>
  <r>
    <s v="ORD-10119"/>
    <x v="110"/>
    <x v="3"/>
    <s v="Nagpur"/>
    <x v="6"/>
    <x v="0"/>
    <x v="37"/>
    <n v="41"/>
    <n v="434.08"/>
    <x v="118"/>
    <n v="15"/>
    <n v="15127.69"/>
    <n v="6360.98"/>
    <n v="8766.7099999999991"/>
    <n v="57.95"/>
    <x v="2"/>
    <x v="2"/>
    <s v="No"/>
  </r>
  <r>
    <s v="ORD-10120"/>
    <x v="111"/>
    <x v="1"/>
    <s v="Ranchi"/>
    <x v="9"/>
    <x v="4"/>
    <x v="29"/>
    <n v="29"/>
    <n v="3026.35"/>
    <x v="119"/>
    <n v="10"/>
    <n v="78987.740000000005"/>
    <n v="51303.25"/>
    <n v="27684.49"/>
    <n v="35.049999999999997"/>
    <x v="0"/>
    <x v="0"/>
    <s v="No"/>
  </r>
  <r>
    <s v="ORD-10121"/>
    <x v="112"/>
    <x v="3"/>
    <s v="Surat"/>
    <x v="9"/>
    <x v="5"/>
    <x v="20"/>
    <n v="37"/>
    <n v="5284.33"/>
    <x v="120"/>
    <n v="10"/>
    <n v="175968.19"/>
    <n v="102325.81"/>
    <n v="73642.38"/>
    <n v="41.85"/>
    <x v="3"/>
    <x v="3"/>
    <s v="No"/>
  </r>
  <r>
    <s v="ORD-10122"/>
    <x v="88"/>
    <x v="1"/>
    <s v="Kolkata"/>
    <x v="7"/>
    <x v="5"/>
    <x v="12"/>
    <n v="16"/>
    <n v="5719.45"/>
    <x v="121"/>
    <n v="15"/>
    <n v="77784.52"/>
    <n v="43343.13"/>
    <n v="34441.39"/>
    <n v="44.28"/>
    <x v="3"/>
    <x v="2"/>
    <s v="No"/>
  </r>
  <r>
    <s v="ORD-10123"/>
    <x v="113"/>
    <x v="1"/>
    <s v="Guwahati"/>
    <x v="11"/>
    <x v="3"/>
    <x v="13"/>
    <n v="39"/>
    <n v="273.06"/>
    <x v="122"/>
    <n v="25"/>
    <n v="7987.01"/>
    <n v="4745.8100000000004"/>
    <n v="3241.2"/>
    <n v="40.58"/>
    <x v="2"/>
    <x v="3"/>
    <s v="No"/>
  </r>
  <r>
    <s v="ORD-10124"/>
    <x v="114"/>
    <x v="3"/>
    <s v="Ahmedabad"/>
    <x v="2"/>
    <x v="2"/>
    <x v="28"/>
    <n v="6"/>
    <n v="8887.1299999999992"/>
    <x v="123"/>
    <n v="5"/>
    <n v="50656.639999999999"/>
    <n v="34194.44"/>
    <n v="16462.2"/>
    <n v="32.5"/>
    <x v="4"/>
    <x v="5"/>
    <s v="No"/>
  </r>
  <r>
    <s v="ORD-10125"/>
    <x v="115"/>
    <x v="0"/>
    <s v="Jaipur"/>
    <x v="11"/>
    <x v="5"/>
    <x v="38"/>
    <n v="22"/>
    <n v="6542.84"/>
    <x v="124"/>
    <n v="25"/>
    <n v="107956.86"/>
    <n v="65945.37"/>
    <n v="42011.49"/>
    <n v="38.92"/>
    <x v="1"/>
    <x v="3"/>
    <s v="No"/>
  </r>
  <r>
    <s v="ORD-10126"/>
    <x v="116"/>
    <x v="3"/>
    <s v="Nagpur"/>
    <x v="2"/>
    <x v="2"/>
    <x v="42"/>
    <n v="20"/>
    <n v="2990.85"/>
    <x v="125"/>
    <n v="5"/>
    <n v="56826.15"/>
    <n v="28556.26"/>
    <n v="28269.89"/>
    <n v="49.75"/>
    <x v="3"/>
    <x v="5"/>
    <s v="No"/>
  </r>
  <r>
    <s v="ORD-10127"/>
    <x v="117"/>
    <x v="2"/>
    <s v="Chennai"/>
    <x v="1"/>
    <x v="2"/>
    <x v="35"/>
    <n v="50"/>
    <n v="8257.64"/>
    <x v="126"/>
    <n v="25"/>
    <n v="309661.5"/>
    <n v="205957.3"/>
    <n v="103704.2"/>
    <n v="33.49"/>
    <x v="2"/>
    <x v="0"/>
    <s v="No"/>
  </r>
  <r>
    <s v="ORD-10128"/>
    <x v="118"/>
    <x v="3"/>
    <s v="Pune"/>
    <x v="6"/>
    <x v="1"/>
    <x v="9"/>
    <n v="45"/>
    <n v="3527.17"/>
    <x v="127"/>
    <n v="5"/>
    <n v="150786.51999999999"/>
    <n v="92938.01"/>
    <n v="57848.51"/>
    <n v="38.36"/>
    <x v="4"/>
    <x v="2"/>
    <s v="No"/>
  </r>
  <r>
    <s v="ORD-10129"/>
    <x v="119"/>
    <x v="2"/>
    <s v="Kochi"/>
    <x v="3"/>
    <x v="5"/>
    <x v="40"/>
    <n v="48"/>
    <n v="6313.64"/>
    <x v="128"/>
    <n v="5"/>
    <n v="287901.98"/>
    <n v="161283.65"/>
    <n v="126618.33"/>
    <n v="43.98"/>
    <x v="4"/>
    <x v="5"/>
    <s v="No"/>
  </r>
  <r>
    <s v="ORD-10130"/>
    <x v="120"/>
    <x v="3"/>
    <s v="Surat"/>
    <x v="1"/>
    <x v="2"/>
    <x v="21"/>
    <n v="34"/>
    <n v="6483.38"/>
    <x v="129"/>
    <n v="5"/>
    <n v="209413.17"/>
    <n v="135085.6"/>
    <n v="74327.570000000007"/>
    <n v="35.49"/>
    <x v="3"/>
    <x v="2"/>
    <s v="No"/>
  </r>
  <r>
    <s v="ORD-10131"/>
    <x v="121"/>
    <x v="3"/>
    <s v="Ahmedabad"/>
    <x v="5"/>
    <x v="5"/>
    <x v="30"/>
    <n v="34"/>
    <n v="6839.1"/>
    <x v="130"/>
    <n v="10"/>
    <n v="209276.46"/>
    <n v="88976.51"/>
    <n v="120299.95"/>
    <n v="57.48"/>
    <x v="2"/>
    <x v="1"/>
    <s v="No"/>
  </r>
  <r>
    <s v="ORD-10132"/>
    <x v="122"/>
    <x v="2"/>
    <s v="Kochi"/>
    <x v="6"/>
    <x v="4"/>
    <x v="7"/>
    <n v="29"/>
    <n v="53170.080000000002"/>
    <x v="131"/>
    <n v="0"/>
    <n v="1541932.32"/>
    <n v="808695.81"/>
    <n v="733236.51"/>
    <n v="47.55"/>
    <x v="1"/>
    <x v="2"/>
    <s v="No"/>
  </r>
  <r>
    <s v="ORD-10133"/>
    <x v="123"/>
    <x v="0"/>
    <s v="Jaipur"/>
    <x v="2"/>
    <x v="1"/>
    <x v="32"/>
    <n v="7"/>
    <n v="3816.5"/>
    <x v="132"/>
    <n v="25"/>
    <n v="20036.62"/>
    <n v="10030.07"/>
    <n v="10006.549999999999"/>
    <n v="49.94"/>
    <x v="3"/>
    <x v="3"/>
    <s v="No"/>
  </r>
  <r>
    <s v="ORD-10134"/>
    <x v="104"/>
    <x v="3"/>
    <s v="Pune"/>
    <x v="9"/>
    <x v="0"/>
    <x v="3"/>
    <n v="40"/>
    <n v="85.88"/>
    <x v="133"/>
    <n v="0"/>
    <n v="3435.2"/>
    <n v="1393.66"/>
    <n v="2041.54"/>
    <n v="59.43"/>
    <x v="3"/>
    <x v="0"/>
    <s v="No"/>
  </r>
  <r>
    <s v="ORD-10135"/>
    <x v="124"/>
    <x v="3"/>
    <s v="Mumbai"/>
    <x v="14"/>
    <x v="2"/>
    <x v="24"/>
    <n v="8"/>
    <n v="1049.53"/>
    <x v="134"/>
    <n v="15"/>
    <n v="7136.8"/>
    <n v="4222.74"/>
    <n v="2914.06"/>
    <n v="40.83"/>
    <x v="4"/>
    <x v="3"/>
    <s v="No"/>
  </r>
  <r>
    <s v="ORD-10136"/>
    <x v="125"/>
    <x v="3"/>
    <s v="Nagpur"/>
    <x v="11"/>
    <x v="5"/>
    <x v="20"/>
    <n v="33"/>
    <n v="4685.37"/>
    <x v="135"/>
    <n v="25"/>
    <n v="115962.91"/>
    <n v="51380.04"/>
    <n v="64582.87"/>
    <n v="55.69"/>
    <x v="0"/>
    <x v="0"/>
    <s v="No"/>
  </r>
  <r>
    <s v="ORD-10137"/>
    <x v="126"/>
    <x v="3"/>
    <s v="Pune"/>
    <x v="1"/>
    <x v="0"/>
    <x v="16"/>
    <n v="24"/>
    <n v="155.80000000000001"/>
    <x v="136"/>
    <n v="20"/>
    <n v="2991.36"/>
    <n v="1684.81"/>
    <n v="1306.55"/>
    <n v="43.68"/>
    <x v="1"/>
    <x v="3"/>
    <s v="No"/>
  </r>
  <r>
    <s v="ORD-10138"/>
    <x v="127"/>
    <x v="3"/>
    <s v="Mumbai"/>
    <x v="2"/>
    <x v="0"/>
    <x v="25"/>
    <n v="17"/>
    <n v="916.99"/>
    <x v="137"/>
    <n v="10"/>
    <n v="14029.95"/>
    <n v="8930.85"/>
    <n v="5099.1000000000004"/>
    <n v="36.340000000000003"/>
    <x v="3"/>
    <x v="4"/>
    <s v="No"/>
  </r>
  <r>
    <s v="ORD-10139"/>
    <x v="128"/>
    <x v="0"/>
    <s v="Agra"/>
    <x v="8"/>
    <x v="0"/>
    <x v="37"/>
    <n v="3"/>
    <n v="474.57"/>
    <x v="138"/>
    <n v="10"/>
    <n v="1281.3399999999999"/>
    <n v="825.25"/>
    <n v="456.09"/>
    <n v="35.590000000000003"/>
    <x v="4"/>
    <x v="4"/>
    <s v="No"/>
  </r>
  <r>
    <s v="ORD-10140"/>
    <x v="21"/>
    <x v="2"/>
    <s v="Bangalore"/>
    <x v="7"/>
    <x v="4"/>
    <x v="39"/>
    <n v="19"/>
    <n v="12734.19"/>
    <x v="139"/>
    <n v="5"/>
    <n v="229852.13"/>
    <n v="153021.09"/>
    <n v="76831.039999999994"/>
    <n v="33.43"/>
    <x v="2"/>
    <x v="0"/>
    <s v="No"/>
  </r>
  <r>
    <s v="ORD-10141"/>
    <x v="129"/>
    <x v="3"/>
    <s v="Ahmedabad"/>
    <x v="14"/>
    <x v="4"/>
    <x v="7"/>
    <n v="23"/>
    <n v="51838.6"/>
    <x v="140"/>
    <n v="0"/>
    <n v="1192287.8"/>
    <n v="786599.34"/>
    <n v="405688.46"/>
    <n v="34.03"/>
    <x v="2"/>
    <x v="3"/>
    <s v="No"/>
  </r>
  <r>
    <s v="ORD-10142"/>
    <x v="130"/>
    <x v="3"/>
    <s v="Surat"/>
    <x v="4"/>
    <x v="0"/>
    <x v="3"/>
    <n v="25"/>
    <n v="459.72"/>
    <x v="141"/>
    <n v="5"/>
    <n v="10918.35"/>
    <n v="5992.66"/>
    <n v="4925.6899999999996"/>
    <n v="45.11"/>
    <x v="2"/>
    <x v="0"/>
    <s v="No"/>
  </r>
  <r>
    <s v="ORD-10143"/>
    <x v="131"/>
    <x v="0"/>
    <s v="Lucknow"/>
    <x v="10"/>
    <x v="4"/>
    <x v="43"/>
    <n v="12"/>
    <n v="33092.080000000002"/>
    <x v="142"/>
    <n v="10"/>
    <n v="357394.46"/>
    <n v="153958.16"/>
    <n v="203436.3"/>
    <n v="56.92"/>
    <x v="2"/>
    <x v="2"/>
    <s v="No"/>
  </r>
  <r>
    <s v="ORD-10144"/>
    <x v="132"/>
    <x v="3"/>
    <s v="Pune"/>
    <x v="2"/>
    <x v="0"/>
    <x v="3"/>
    <n v="29"/>
    <n v="127.44"/>
    <x v="143"/>
    <n v="10"/>
    <n v="3326.18"/>
    <n v="1944"/>
    <n v="1382.18"/>
    <n v="41.55"/>
    <x v="2"/>
    <x v="4"/>
    <s v="No"/>
  </r>
  <r>
    <s v="ORD-10145"/>
    <x v="45"/>
    <x v="0"/>
    <s v="Delhi"/>
    <x v="2"/>
    <x v="0"/>
    <x v="25"/>
    <n v="33"/>
    <n v="977.23"/>
    <x v="144"/>
    <n v="25"/>
    <n v="24186.44"/>
    <n v="10835.43"/>
    <n v="13351.01"/>
    <n v="55.2"/>
    <x v="3"/>
    <x v="0"/>
    <s v="No"/>
  </r>
  <r>
    <s v="ORD-10146"/>
    <x v="133"/>
    <x v="3"/>
    <s v="Mumbai"/>
    <x v="0"/>
    <x v="1"/>
    <x v="10"/>
    <n v="50"/>
    <n v="2991.94"/>
    <x v="145"/>
    <n v="10"/>
    <n v="134637.29999999999"/>
    <n v="69318.86"/>
    <n v="65318.44"/>
    <n v="48.51"/>
    <x v="0"/>
    <x v="0"/>
    <s v="No"/>
  </r>
  <r>
    <s v="ORD-10147"/>
    <x v="134"/>
    <x v="3"/>
    <s v="Ahmedabad"/>
    <x v="3"/>
    <x v="2"/>
    <x v="11"/>
    <n v="5"/>
    <n v="8757.9500000000007"/>
    <x v="146"/>
    <n v="20"/>
    <n v="35031.800000000003"/>
    <n v="17869.2"/>
    <n v="17162.599999999999"/>
    <n v="48.99"/>
    <x v="2"/>
    <x v="5"/>
    <s v="No"/>
  </r>
  <r>
    <s v="ORD-10148"/>
    <x v="135"/>
    <x v="0"/>
    <s v="Chandigarh"/>
    <x v="4"/>
    <x v="3"/>
    <x v="33"/>
    <n v="36"/>
    <n v="426.74"/>
    <x v="147"/>
    <n v="10"/>
    <n v="13826.38"/>
    <n v="8450.84"/>
    <n v="5375.54"/>
    <n v="38.880000000000003"/>
    <x v="1"/>
    <x v="2"/>
    <s v="No"/>
  </r>
  <r>
    <s v="ORD-10149"/>
    <x v="136"/>
    <x v="3"/>
    <s v="Pune"/>
    <x v="6"/>
    <x v="4"/>
    <x v="41"/>
    <n v="5"/>
    <n v="27560.93"/>
    <x v="148"/>
    <n v="25"/>
    <n v="103353.49"/>
    <n v="55142.53"/>
    <n v="48210.96"/>
    <n v="46.65"/>
    <x v="2"/>
    <x v="4"/>
    <s v="No"/>
  </r>
  <r>
    <s v="ORD-10150"/>
    <x v="137"/>
    <x v="0"/>
    <s v="Agra"/>
    <x v="4"/>
    <x v="5"/>
    <x v="40"/>
    <n v="20"/>
    <n v="6840.62"/>
    <x v="149"/>
    <n v="25"/>
    <n v="102609.3"/>
    <n v="62886.07"/>
    <n v="39723.230000000003"/>
    <n v="38.71"/>
    <x v="3"/>
    <x v="2"/>
    <s v="No"/>
  </r>
  <r>
    <s v="ORD-10151"/>
    <x v="138"/>
    <x v="0"/>
    <s v="Chandigarh"/>
    <x v="3"/>
    <x v="1"/>
    <x v="1"/>
    <n v="32"/>
    <n v="361.71"/>
    <x v="150"/>
    <n v="20"/>
    <n v="9259.7800000000007"/>
    <n v="5293.66"/>
    <n v="3966.12"/>
    <n v="42.83"/>
    <x v="1"/>
    <x v="5"/>
    <s v="No"/>
  </r>
  <r>
    <s v="ORD-10152"/>
    <x v="139"/>
    <x v="0"/>
    <s v="Delhi"/>
    <x v="5"/>
    <x v="2"/>
    <x v="21"/>
    <n v="47"/>
    <n v="7362.44"/>
    <x v="151"/>
    <n v="15"/>
    <n v="294129.48"/>
    <n v="185521.98"/>
    <n v="108607.5"/>
    <n v="36.93"/>
    <x v="0"/>
    <x v="5"/>
    <s v="No"/>
  </r>
  <r>
    <s v="ORD-10153"/>
    <x v="106"/>
    <x v="0"/>
    <s v="Lucknow"/>
    <x v="8"/>
    <x v="3"/>
    <x v="13"/>
    <n v="50"/>
    <n v="1445.56"/>
    <x v="152"/>
    <n v="20"/>
    <n v="57822.400000000001"/>
    <n v="26285.42"/>
    <n v="31536.98"/>
    <n v="54.54"/>
    <x v="4"/>
    <x v="0"/>
    <s v="No"/>
  </r>
  <r>
    <s v="ORD-10154"/>
    <x v="140"/>
    <x v="0"/>
    <s v="Delhi"/>
    <x v="14"/>
    <x v="5"/>
    <x v="12"/>
    <n v="11"/>
    <n v="1463.34"/>
    <x v="153"/>
    <n v="25"/>
    <n v="12072.56"/>
    <n v="5645.63"/>
    <n v="6426.93"/>
    <n v="53.24"/>
    <x v="2"/>
    <x v="3"/>
    <s v="No"/>
  </r>
  <r>
    <s v="ORD-10155"/>
    <x v="141"/>
    <x v="1"/>
    <s v="Bhubaneswar"/>
    <x v="10"/>
    <x v="0"/>
    <x v="0"/>
    <n v="35"/>
    <n v="184.64"/>
    <x v="154"/>
    <n v="25"/>
    <n v="4846.8"/>
    <n v="2183.92"/>
    <n v="2662.88"/>
    <n v="54.94"/>
    <x v="3"/>
    <x v="5"/>
    <s v="No"/>
  </r>
  <r>
    <s v="ORD-10156"/>
    <x v="142"/>
    <x v="1"/>
    <s v="Ranchi"/>
    <x v="12"/>
    <x v="4"/>
    <x v="14"/>
    <n v="3"/>
    <n v="56953.97"/>
    <x v="155"/>
    <n v="20"/>
    <n v="136689.53"/>
    <n v="65528.52"/>
    <n v="71161.009999999995"/>
    <n v="52.06"/>
    <x v="1"/>
    <x v="1"/>
    <s v="No"/>
  </r>
  <r>
    <s v="ORD-10157"/>
    <x v="9"/>
    <x v="0"/>
    <s v="Lucknow"/>
    <x v="11"/>
    <x v="0"/>
    <x v="0"/>
    <n v="20"/>
    <n v="620.9"/>
    <x v="156"/>
    <n v="25"/>
    <n v="9313.5"/>
    <n v="4860.04"/>
    <n v="4453.46"/>
    <n v="47.82"/>
    <x v="0"/>
    <x v="4"/>
    <s v="No"/>
  </r>
  <r>
    <s v="ORD-10158"/>
    <x v="143"/>
    <x v="3"/>
    <s v="Surat"/>
    <x v="0"/>
    <x v="3"/>
    <x v="18"/>
    <n v="22"/>
    <n v="1575.65"/>
    <x v="157"/>
    <n v="10"/>
    <n v="31197.87"/>
    <n v="20542.099999999999"/>
    <n v="10655.77"/>
    <n v="34.159999999999997"/>
    <x v="2"/>
    <x v="1"/>
    <s v="No"/>
  </r>
  <r>
    <s v="ORD-10159"/>
    <x v="86"/>
    <x v="1"/>
    <s v="Ranchi"/>
    <x v="2"/>
    <x v="5"/>
    <x v="30"/>
    <n v="16"/>
    <n v="3838.49"/>
    <x v="158"/>
    <n v="10"/>
    <n v="55274.26"/>
    <n v="29565.03"/>
    <n v="25709.23"/>
    <n v="46.51"/>
    <x v="0"/>
    <x v="3"/>
    <s v="No"/>
  </r>
  <r>
    <s v="ORD-10160"/>
    <x v="16"/>
    <x v="3"/>
    <s v="Nagpur"/>
    <x v="6"/>
    <x v="3"/>
    <x v="17"/>
    <n v="11"/>
    <n v="2061.67"/>
    <x v="159"/>
    <n v="20"/>
    <n v="18142.7"/>
    <n v="11182.05"/>
    <n v="6960.65"/>
    <n v="38.369999999999997"/>
    <x v="3"/>
    <x v="1"/>
    <s v="No"/>
  </r>
  <r>
    <s v="ORD-10161"/>
    <x v="11"/>
    <x v="3"/>
    <s v="Surat"/>
    <x v="7"/>
    <x v="2"/>
    <x v="11"/>
    <n v="6"/>
    <n v="14197.66"/>
    <x v="160"/>
    <n v="20"/>
    <n v="68148.77"/>
    <n v="36607.42"/>
    <n v="31541.35"/>
    <n v="46.28"/>
    <x v="3"/>
    <x v="0"/>
    <s v="No"/>
  </r>
  <r>
    <s v="ORD-10162"/>
    <x v="144"/>
    <x v="0"/>
    <s v="Jaipur"/>
    <x v="14"/>
    <x v="3"/>
    <x v="18"/>
    <n v="35"/>
    <n v="169.22"/>
    <x v="161"/>
    <n v="0"/>
    <n v="5922.7"/>
    <n v="3134.76"/>
    <n v="2787.94"/>
    <n v="47.07"/>
    <x v="2"/>
    <x v="1"/>
    <s v="No"/>
  </r>
  <r>
    <s v="ORD-10163"/>
    <x v="54"/>
    <x v="3"/>
    <s v="Mumbai"/>
    <x v="2"/>
    <x v="5"/>
    <x v="22"/>
    <n v="36"/>
    <n v="2451.09"/>
    <x v="162"/>
    <n v="15"/>
    <n v="75003.350000000006"/>
    <n v="41347.599999999999"/>
    <n v="33655.75"/>
    <n v="44.87"/>
    <x v="2"/>
    <x v="0"/>
    <s v="No"/>
  </r>
  <r>
    <s v="ORD-10164"/>
    <x v="10"/>
    <x v="0"/>
    <s v="Chandigarh"/>
    <x v="2"/>
    <x v="4"/>
    <x v="43"/>
    <n v="22"/>
    <n v="33823.64"/>
    <x v="163"/>
    <n v="10"/>
    <n v="669708.06999999995"/>
    <n v="419565.11"/>
    <n v="250142.96"/>
    <n v="37.35"/>
    <x v="1"/>
    <x v="0"/>
    <s v="No"/>
  </r>
  <r>
    <s v="ORD-10165"/>
    <x v="145"/>
    <x v="0"/>
    <s v="Delhi"/>
    <x v="5"/>
    <x v="4"/>
    <x v="41"/>
    <n v="22"/>
    <n v="48394.78"/>
    <x v="164"/>
    <n v="20"/>
    <n v="851748.13"/>
    <n v="457471"/>
    <n v="394277.13"/>
    <n v="46.29"/>
    <x v="1"/>
    <x v="5"/>
    <s v="No"/>
  </r>
  <r>
    <s v="ORD-10166"/>
    <x v="146"/>
    <x v="1"/>
    <s v="Bhubaneswar"/>
    <x v="10"/>
    <x v="3"/>
    <x v="6"/>
    <n v="22"/>
    <n v="1342.19"/>
    <x v="165"/>
    <n v="20"/>
    <n v="23622.54"/>
    <n v="13221.58"/>
    <n v="10400.959999999999"/>
    <n v="44.03"/>
    <x v="1"/>
    <x v="2"/>
    <s v="No"/>
  </r>
  <r>
    <s v="ORD-10167"/>
    <x v="147"/>
    <x v="0"/>
    <s v="Jaipur"/>
    <x v="13"/>
    <x v="2"/>
    <x v="35"/>
    <n v="38"/>
    <n v="4857.4799999999996"/>
    <x v="166"/>
    <n v="25"/>
    <n v="138438.18"/>
    <n v="91594.82"/>
    <n v="46843.360000000001"/>
    <n v="33.840000000000003"/>
    <x v="0"/>
    <x v="0"/>
    <s v="No"/>
  </r>
  <r>
    <s v="ORD-10168"/>
    <x v="2"/>
    <x v="2"/>
    <s v="Chennai"/>
    <x v="8"/>
    <x v="5"/>
    <x v="15"/>
    <n v="34"/>
    <n v="5106.3999999999996"/>
    <x v="167"/>
    <n v="20"/>
    <n v="138894.07999999999"/>
    <n v="87834.09"/>
    <n v="51059.99"/>
    <n v="36.76"/>
    <x v="3"/>
    <x v="4"/>
    <s v="No"/>
  </r>
  <r>
    <s v="ORD-10169"/>
    <x v="112"/>
    <x v="0"/>
    <s v="Chandigarh"/>
    <x v="2"/>
    <x v="4"/>
    <x v="39"/>
    <n v="27"/>
    <n v="9764.73"/>
    <x v="168"/>
    <n v="25"/>
    <n v="197735.78"/>
    <n v="91189.32"/>
    <n v="106546.46"/>
    <n v="53.88"/>
    <x v="1"/>
    <x v="1"/>
    <s v="No"/>
  </r>
  <r>
    <s v="ORD-10170"/>
    <x v="134"/>
    <x v="0"/>
    <s v="Chandigarh"/>
    <x v="1"/>
    <x v="5"/>
    <x v="22"/>
    <n v="21"/>
    <n v="7985.36"/>
    <x v="169"/>
    <n v="15"/>
    <n v="142538.68"/>
    <n v="79485.72"/>
    <n v="63052.959999999999"/>
    <n v="44.24"/>
    <x v="3"/>
    <x v="1"/>
    <s v="No"/>
  </r>
  <r>
    <s v="ORD-10171"/>
    <x v="148"/>
    <x v="1"/>
    <s v="Ranchi"/>
    <x v="10"/>
    <x v="2"/>
    <x v="44"/>
    <n v="31"/>
    <n v="3166.67"/>
    <x v="170"/>
    <n v="5"/>
    <n v="93258.43"/>
    <n v="45109.279999999999"/>
    <n v="48149.15"/>
    <n v="51.63"/>
    <x v="3"/>
    <x v="2"/>
    <s v="No"/>
  </r>
  <r>
    <s v="ORD-10172"/>
    <x v="149"/>
    <x v="2"/>
    <s v="Kochi"/>
    <x v="2"/>
    <x v="2"/>
    <x v="11"/>
    <n v="36"/>
    <n v="14028.71"/>
    <x v="171"/>
    <n v="25"/>
    <n v="378775.17"/>
    <n v="182583.75"/>
    <n v="196191.42"/>
    <n v="51.8"/>
    <x v="1"/>
    <x v="4"/>
    <s v="No"/>
  </r>
  <r>
    <s v="ORD-10173"/>
    <x v="110"/>
    <x v="3"/>
    <s v="Ahmedabad"/>
    <x v="7"/>
    <x v="1"/>
    <x v="8"/>
    <n v="19"/>
    <n v="4310.08"/>
    <x v="172"/>
    <n v="0"/>
    <n v="81891.520000000004"/>
    <n v="41265.879999999997"/>
    <n v="40625.64"/>
    <n v="49.61"/>
    <x v="2"/>
    <x v="4"/>
    <s v="No"/>
  </r>
  <r>
    <s v="ORD-10174"/>
    <x v="150"/>
    <x v="2"/>
    <s v="Coimbatore"/>
    <x v="8"/>
    <x v="2"/>
    <x v="44"/>
    <n v="7"/>
    <n v="9369.67"/>
    <x v="173"/>
    <n v="20"/>
    <n v="52470.15"/>
    <n v="24754.61"/>
    <n v="27715.54"/>
    <n v="52.82"/>
    <x v="1"/>
    <x v="5"/>
    <s v="No"/>
  </r>
  <r>
    <s v="ORD-10175"/>
    <x v="54"/>
    <x v="0"/>
    <s v="Delhi"/>
    <x v="5"/>
    <x v="3"/>
    <x v="13"/>
    <n v="31"/>
    <n v="386.28"/>
    <x v="174"/>
    <n v="5"/>
    <n v="11375.95"/>
    <n v="4568.0600000000004"/>
    <n v="6807.89"/>
    <n v="59.84"/>
    <x v="3"/>
    <x v="1"/>
    <s v="No"/>
  </r>
  <r>
    <s v="ORD-10176"/>
    <x v="151"/>
    <x v="3"/>
    <s v="Surat"/>
    <x v="3"/>
    <x v="0"/>
    <x v="4"/>
    <n v="19"/>
    <n v="439.71"/>
    <x v="175"/>
    <n v="25"/>
    <n v="6265.87"/>
    <n v="2617.56"/>
    <n v="3648.31"/>
    <n v="58.23"/>
    <x v="1"/>
    <x v="5"/>
    <s v="No"/>
  </r>
  <r>
    <s v="ORD-10177"/>
    <x v="152"/>
    <x v="0"/>
    <s v="Chandigarh"/>
    <x v="4"/>
    <x v="3"/>
    <x v="19"/>
    <n v="3"/>
    <n v="2493.35"/>
    <x v="176"/>
    <n v="15"/>
    <n v="6358.04"/>
    <n v="4046.18"/>
    <n v="2311.86"/>
    <n v="36.36"/>
    <x v="2"/>
    <x v="3"/>
    <s v="Yes"/>
  </r>
  <r>
    <s v="ORD-10178"/>
    <x v="153"/>
    <x v="0"/>
    <s v="Jaipur"/>
    <x v="11"/>
    <x v="2"/>
    <x v="11"/>
    <n v="35"/>
    <n v="8031.27"/>
    <x v="177"/>
    <n v="5"/>
    <n v="267039.73"/>
    <n v="174995.92"/>
    <n v="92043.81"/>
    <n v="34.47"/>
    <x v="2"/>
    <x v="5"/>
    <s v="No"/>
  </r>
  <r>
    <s v="ORD-10179"/>
    <x v="154"/>
    <x v="1"/>
    <s v="Bhubaneswar"/>
    <x v="11"/>
    <x v="0"/>
    <x v="3"/>
    <n v="17"/>
    <n v="884.83"/>
    <x v="178"/>
    <n v="0"/>
    <n v="15042.11"/>
    <n v="9340.93"/>
    <n v="5701.18"/>
    <n v="37.9"/>
    <x v="1"/>
    <x v="4"/>
    <s v="No"/>
  </r>
  <r>
    <s v="ORD-10180"/>
    <x v="98"/>
    <x v="2"/>
    <s v="Coimbatore"/>
    <x v="6"/>
    <x v="0"/>
    <x v="25"/>
    <n v="28"/>
    <n v="657.11"/>
    <x v="179"/>
    <n v="0"/>
    <n v="18399.080000000002"/>
    <n v="9572.1200000000008"/>
    <n v="8826.9599999999991"/>
    <n v="47.98"/>
    <x v="3"/>
    <x v="5"/>
    <s v="No"/>
  </r>
  <r>
    <s v="ORD-10181"/>
    <x v="155"/>
    <x v="2"/>
    <s v="Chennai"/>
    <x v="0"/>
    <x v="2"/>
    <x v="21"/>
    <n v="29"/>
    <n v="11392.53"/>
    <x v="180"/>
    <n v="10"/>
    <n v="297345.03000000003"/>
    <n v="145872.64000000001"/>
    <n v="151472.39000000001"/>
    <n v="50.94"/>
    <x v="0"/>
    <x v="2"/>
    <s v="No"/>
  </r>
  <r>
    <s v="ORD-10182"/>
    <x v="156"/>
    <x v="2"/>
    <s v="Chennai"/>
    <x v="9"/>
    <x v="0"/>
    <x v="16"/>
    <n v="20"/>
    <n v="258.88"/>
    <x v="181"/>
    <n v="25"/>
    <n v="3883.2"/>
    <n v="2138.6999999999998"/>
    <n v="1744.5"/>
    <n v="44.92"/>
    <x v="2"/>
    <x v="4"/>
    <s v="No"/>
  </r>
  <r>
    <s v="ORD-10183"/>
    <x v="145"/>
    <x v="1"/>
    <s v="Patna"/>
    <x v="0"/>
    <x v="5"/>
    <x v="22"/>
    <n v="9"/>
    <n v="3929.82"/>
    <x v="182"/>
    <n v="15"/>
    <n v="30063.119999999999"/>
    <n v="18769.02"/>
    <n v="11294.1"/>
    <n v="37.57"/>
    <x v="2"/>
    <x v="1"/>
    <s v="No"/>
  </r>
  <r>
    <s v="ORD-10184"/>
    <x v="157"/>
    <x v="3"/>
    <s v="Nagpur"/>
    <x v="3"/>
    <x v="0"/>
    <x v="4"/>
    <n v="16"/>
    <n v="841.98"/>
    <x v="183"/>
    <n v="20"/>
    <n v="10777.34"/>
    <n v="7133.96"/>
    <n v="3643.38"/>
    <n v="33.81"/>
    <x v="1"/>
    <x v="1"/>
    <s v="No"/>
  </r>
  <r>
    <s v="ORD-10185"/>
    <x v="158"/>
    <x v="1"/>
    <s v="Kolkata"/>
    <x v="7"/>
    <x v="5"/>
    <x v="30"/>
    <n v="36"/>
    <n v="7242.53"/>
    <x v="184"/>
    <n v="5"/>
    <n v="247694.53"/>
    <n v="141634.32999999999"/>
    <n v="106060.2"/>
    <n v="42.82"/>
    <x v="3"/>
    <x v="2"/>
    <s v="No"/>
  </r>
  <r>
    <s v="ORD-10186"/>
    <x v="159"/>
    <x v="3"/>
    <s v="Mumbai"/>
    <x v="5"/>
    <x v="0"/>
    <x v="4"/>
    <n v="38"/>
    <n v="627.49"/>
    <x v="185"/>
    <n v="20"/>
    <n v="19075.7"/>
    <n v="10179.65"/>
    <n v="8896.0499999999993"/>
    <n v="46.64"/>
    <x v="4"/>
    <x v="5"/>
    <s v="No"/>
  </r>
  <r>
    <s v="ORD-10187"/>
    <x v="160"/>
    <x v="3"/>
    <s v="Nagpur"/>
    <x v="11"/>
    <x v="4"/>
    <x v="39"/>
    <n v="20"/>
    <n v="43618.18"/>
    <x v="186"/>
    <n v="15"/>
    <n v="741509.06"/>
    <n v="353208.32000000001"/>
    <n v="388300.74"/>
    <n v="52.37"/>
    <x v="3"/>
    <x v="0"/>
    <s v="No"/>
  </r>
  <r>
    <s v="ORD-10188"/>
    <x v="161"/>
    <x v="3"/>
    <s v="Ahmedabad"/>
    <x v="1"/>
    <x v="0"/>
    <x v="16"/>
    <n v="4"/>
    <n v="1126.73"/>
    <x v="187"/>
    <n v="0"/>
    <n v="4506.92"/>
    <n v="3136.1"/>
    <n v="1370.82"/>
    <n v="30.42"/>
    <x v="0"/>
    <x v="2"/>
    <s v="No"/>
  </r>
  <r>
    <s v="ORD-10189"/>
    <x v="162"/>
    <x v="2"/>
    <s v="Kochi"/>
    <x v="9"/>
    <x v="2"/>
    <x v="21"/>
    <n v="25"/>
    <n v="5853.21"/>
    <x v="188"/>
    <n v="25"/>
    <n v="109747.69"/>
    <n v="75642.86"/>
    <n v="34104.83"/>
    <n v="31.08"/>
    <x v="3"/>
    <x v="4"/>
    <s v="No"/>
  </r>
  <r>
    <s v="ORD-10190"/>
    <x v="163"/>
    <x v="0"/>
    <s v="Chandigarh"/>
    <x v="1"/>
    <x v="5"/>
    <x v="38"/>
    <n v="9"/>
    <n v="5877.29"/>
    <x v="189"/>
    <n v="5"/>
    <n v="50250.83"/>
    <n v="32685.48"/>
    <n v="17565.349999999999"/>
    <n v="34.96"/>
    <x v="2"/>
    <x v="1"/>
    <s v="No"/>
  </r>
  <r>
    <s v="ORD-10191"/>
    <x v="164"/>
    <x v="3"/>
    <s v="Nagpur"/>
    <x v="0"/>
    <x v="3"/>
    <x v="17"/>
    <n v="30"/>
    <n v="963.48"/>
    <x v="190"/>
    <n v="10"/>
    <n v="26013.96"/>
    <n v="11876.52"/>
    <n v="14137.44"/>
    <n v="54.35"/>
    <x v="0"/>
    <x v="4"/>
    <s v="No"/>
  </r>
  <r>
    <s v="ORD-10192"/>
    <x v="165"/>
    <x v="0"/>
    <s v="Chandigarh"/>
    <x v="12"/>
    <x v="1"/>
    <x v="10"/>
    <n v="39"/>
    <n v="392.7"/>
    <x v="191"/>
    <n v="20"/>
    <n v="12252.24"/>
    <n v="7371.03"/>
    <n v="4881.21"/>
    <n v="39.840000000000003"/>
    <x v="3"/>
    <x v="4"/>
    <s v="Yes"/>
  </r>
  <r>
    <s v="ORD-10193"/>
    <x v="166"/>
    <x v="3"/>
    <s v="Pune"/>
    <x v="3"/>
    <x v="5"/>
    <x v="22"/>
    <n v="50"/>
    <n v="640.26"/>
    <x v="192"/>
    <n v="20"/>
    <n v="25610.400000000001"/>
    <n v="17877.21"/>
    <n v="7733.19"/>
    <n v="30.2"/>
    <x v="1"/>
    <x v="2"/>
    <s v="No"/>
  </r>
  <r>
    <s v="ORD-10194"/>
    <x v="167"/>
    <x v="1"/>
    <s v="Bhubaneswar"/>
    <x v="11"/>
    <x v="2"/>
    <x v="28"/>
    <n v="34"/>
    <n v="3588.28"/>
    <x v="193"/>
    <n v="10"/>
    <n v="109801.37"/>
    <n v="52984.23"/>
    <n v="56817.14"/>
    <n v="51.75"/>
    <x v="1"/>
    <x v="4"/>
    <s v="No"/>
  </r>
  <r>
    <s v="ORD-10195"/>
    <x v="168"/>
    <x v="3"/>
    <s v="Nagpur"/>
    <x v="2"/>
    <x v="3"/>
    <x v="45"/>
    <n v="42"/>
    <n v="1727.65"/>
    <x v="194"/>
    <n v="20"/>
    <n v="58049.04"/>
    <n v="28770.28"/>
    <n v="29278.76"/>
    <n v="50.44"/>
    <x v="4"/>
    <x v="5"/>
    <s v="No"/>
  </r>
  <r>
    <s v="ORD-10196"/>
    <x v="169"/>
    <x v="2"/>
    <s v="Coimbatore"/>
    <x v="6"/>
    <x v="3"/>
    <x v="17"/>
    <n v="15"/>
    <n v="856.73"/>
    <x v="195"/>
    <n v="25"/>
    <n v="9638.2099999999991"/>
    <n v="4272.67"/>
    <n v="5365.54"/>
    <n v="55.67"/>
    <x v="0"/>
    <x v="0"/>
    <s v="No"/>
  </r>
  <r>
    <s v="ORD-10197"/>
    <x v="170"/>
    <x v="3"/>
    <s v="Nagpur"/>
    <x v="13"/>
    <x v="5"/>
    <x v="12"/>
    <n v="16"/>
    <n v="2188.9699999999998"/>
    <x v="196"/>
    <n v="10"/>
    <n v="31521.17"/>
    <n v="18723.95"/>
    <n v="12797.22"/>
    <n v="40.6"/>
    <x v="2"/>
    <x v="3"/>
    <s v="No"/>
  </r>
  <r>
    <s v="ORD-10198"/>
    <x v="171"/>
    <x v="2"/>
    <s v="Chennai"/>
    <x v="11"/>
    <x v="2"/>
    <x v="21"/>
    <n v="39"/>
    <n v="9182.81"/>
    <x v="197"/>
    <n v="0"/>
    <n v="358129.59"/>
    <n v="163467.89000000001"/>
    <n v="194661.7"/>
    <n v="54.36"/>
    <x v="1"/>
    <x v="5"/>
    <s v="No"/>
  </r>
  <r>
    <s v="ORD-10199"/>
    <x v="172"/>
    <x v="1"/>
    <s v="Patna"/>
    <x v="4"/>
    <x v="4"/>
    <x v="7"/>
    <n v="13"/>
    <n v="57754.99"/>
    <x v="198"/>
    <n v="0"/>
    <n v="750814.87"/>
    <n v="468556.36"/>
    <n v="282258.51"/>
    <n v="37.590000000000003"/>
    <x v="3"/>
    <x v="4"/>
    <s v="No"/>
  </r>
  <r>
    <s v="ORD-10200"/>
    <x v="173"/>
    <x v="2"/>
    <s v="Kochi"/>
    <x v="3"/>
    <x v="1"/>
    <x v="46"/>
    <n v="19"/>
    <n v="1867.81"/>
    <x v="199"/>
    <n v="20"/>
    <n v="28390.71"/>
    <n v="16881.580000000002"/>
    <n v="11509.13"/>
    <n v="40.54"/>
    <x v="2"/>
    <x v="2"/>
    <s v="No"/>
  </r>
  <r>
    <s v="ORD-10201"/>
    <x v="174"/>
    <x v="3"/>
    <s v="Surat"/>
    <x v="3"/>
    <x v="4"/>
    <x v="39"/>
    <n v="21"/>
    <n v="54928.37"/>
    <x v="200"/>
    <n v="10"/>
    <n v="1038146.19"/>
    <n v="512716.12"/>
    <n v="525430.06999999995"/>
    <n v="50.61"/>
    <x v="1"/>
    <x v="5"/>
    <s v="No"/>
  </r>
  <r>
    <s v="ORD-10202"/>
    <x v="175"/>
    <x v="0"/>
    <s v="Jaipur"/>
    <x v="14"/>
    <x v="5"/>
    <x v="38"/>
    <n v="10"/>
    <n v="1730.3"/>
    <x v="201"/>
    <n v="5"/>
    <n v="16437.849999999999"/>
    <n v="8448.26"/>
    <n v="7989.59"/>
    <n v="48.6"/>
    <x v="4"/>
    <x v="0"/>
    <s v="No"/>
  </r>
  <r>
    <s v="ORD-10203"/>
    <x v="176"/>
    <x v="1"/>
    <s v="Patna"/>
    <x v="9"/>
    <x v="3"/>
    <x v="18"/>
    <n v="11"/>
    <n v="1872.01"/>
    <x v="202"/>
    <n v="10"/>
    <n v="18532.900000000001"/>
    <n v="8354.26"/>
    <n v="10178.64"/>
    <n v="54.92"/>
    <x v="4"/>
    <x v="5"/>
    <s v="No"/>
  </r>
  <r>
    <s v="ORD-10204"/>
    <x v="177"/>
    <x v="0"/>
    <s v="Agra"/>
    <x v="6"/>
    <x v="4"/>
    <x v="26"/>
    <n v="43"/>
    <n v="3672.05"/>
    <x v="203"/>
    <n v="0"/>
    <n v="157898.15"/>
    <n v="82694.05"/>
    <n v="75204.100000000006"/>
    <n v="47.63"/>
    <x v="3"/>
    <x v="3"/>
    <s v="No"/>
  </r>
  <r>
    <s v="ORD-10205"/>
    <x v="178"/>
    <x v="0"/>
    <s v="Chandigarh"/>
    <x v="2"/>
    <x v="5"/>
    <x v="15"/>
    <n v="4"/>
    <n v="5019.1099999999997"/>
    <x v="204"/>
    <n v="25"/>
    <n v="15057.33"/>
    <n v="10241.56"/>
    <n v="4815.7700000000004"/>
    <n v="31.98"/>
    <x v="4"/>
    <x v="3"/>
    <s v="Yes"/>
  </r>
  <r>
    <s v="ORD-10206"/>
    <x v="179"/>
    <x v="3"/>
    <s v="Mumbai"/>
    <x v="1"/>
    <x v="4"/>
    <x v="29"/>
    <n v="19"/>
    <n v="1814.84"/>
    <x v="205"/>
    <n v="25"/>
    <n v="25861.47"/>
    <n v="15574.03"/>
    <n v="10287.44"/>
    <n v="39.78"/>
    <x v="0"/>
    <x v="3"/>
    <s v="No"/>
  </r>
  <r>
    <s v="ORD-10207"/>
    <x v="180"/>
    <x v="2"/>
    <s v="Bangalore"/>
    <x v="6"/>
    <x v="5"/>
    <x v="40"/>
    <n v="23"/>
    <n v="2285.13"/>
    <x v="206"/>
    <n v="15"/>
    <n v="44674.29"/>
    <n v="18928.75"/>
    <n v="25745.54"/>
    <n v="57.63"/>
    <x v="4"/>
    <x v="0"/>
    <s v="No"/>
  </r>
  <r>
    <s v="ORD-10208"/>
    <x v="181"/>
    <x v="2"/>
    <s v="Hyderabad"/>
    <x v="11"/>
    <x v="0"/>
    <x v="16"/>
    <n v="42"/>
    <n v="930.74"/>
    <x v="207"/>
    <n v="0"/>
    <n v="39091.08"/>
    <n v="20389.259999999998"/>
    <n v="18701.82"/>
    <n v="47.84"/>
    <x v="1"/>
    <x v="1"/>
    <s v="No"/>
  </r>
  <r>
    <s v="ORD-10209"/>
    <x v="98"/>
    <x v="0"/>
    <s v="Chandigarh"/>
    <x v="6"/>
    <x v="4"/>
    <x v="39"/>
    <n v="28"/>
    <n v="38978.51"/>
    <x v="208"/>
    <n v="10"/>
    <n v="982258.45"/>
    <n v="559648.62"/>
    <n v="422609.83"/>
    <n v="43.02"/>
    <x v="1"/>
    <x v="3"/>
    <s v="No"/>
  </r>
  <r>
    <s v="ORD-10210"/>
    <x v="179"/>
    <x v="3"/>
    <s v="Ahmedabad"/>
    <x v="11"/>
    <x v="4"/>
    <x v="26"/>
    <n v="18"/>
    <n v="54039.25"/>
    <x v="209"/>
    <n v="20"/>
    <n v="778165.2"/>
    <n v="464901.39"/>
    <n v="313263.81"/>
    <n v="40.26"/>
    <x v="2"/>
    <x v="3"/>
    <s v="No"/>
  </r>
  <r>
    <s v="ORD-10211"/>
    <x v="182"/>
    <x v="2"/>
    <s v="Kochi"/>
    <x v="8"/>
    <x v="4"/>
    <x v="29"/>
    <n v="37"/>
    <n v="15035.95"/>
    <x v="210"/>
    <n v="15"/>
    <n v="472880.63"/>
    <n v="285199.27"/>
    <n v="187681.36"/>
    <n v="39.69"/>
    <x v="2"/>
    <x v="1"/>
    <s v="No"/>
  </r>
  <r>
    <s v="ORD-10212"/>
    <x v="183"/>
    <x v="2"/>
    <s v="Chennai"/>
    <x v="7"/>
    <x v="5"/>
    <x v="36"/>
    <n v="7"/>
    <n v="3609.29"/>
    <x v="211"/>
    <n v="0"/>
    <n v="25265.03"/>
    <n v="12687.54"/>
    <n v="12577.49"/>
    <n v="49.78"/>
    <x v="1"/>
    <x v="1"/>
    <s v="No"/>
  </r>
  <r>
    <s v="ORD-10213"/>
    <x v="47"/>
    <x v="1"/>
    <s v="Kolkata"/>
    <x v="3"/>
    <x v="0"/>
    <x v="0"/>
    <n v="29"/>
    <n v="629.48"/>
    <x v="212"/>
    <n v="10"/>
    <n v="16429.43"/>
    <n v="9297.6"/>
    <n v="7131.83"/>
    <n v="43.41"/>
    <x v="4"/>
    <x v="5"/>
    <s v="No"/>
  </r>
  <r>
    <s v="ORD-10214"/>
    <x v="2"/>
    <x v="3"/>
    <s v="Mumbai"/>
    <x v="3"/>
    <x v="5"/>
    <x v="40"/>
    <n v="16"/>
    <n v="5762.25"/>
    <x v="213"/>
    <n v="0"/>
    <n v="92196"/>
    <n v="44290.18"/>
    <n v="47905.82"/>
    <n v="51.96"/>
    <x v="3"/>
    <x v="4"/>
    <s v="No"/>
  </r>
  <r>
    <s v="ORD-10215"/>
    <x v="136"/>
    <x v="1"/>
    <s v="Kolkata"/>
    <x v="14"/>
    <x v="4"/>
    <x v="14"/>
    <n v="29"/>
    <n v="22107.119999999999"/>
    <x v="214"/>
    <n v="10"/>
    <n v="576995.82999999996"/>
    <n v="248494.46"/>
    <n v="328501.37"/>
    <n v="56.93"/>
    <x v="3"/>
    <x v="1"/>
    <s v="No"/>
  </r>
  <r>
    <s v="ORD-10216"/>
    <x v="184"/>
    <x v="3"/>
    <s v="Mumbai"/>
    <x v="2"/>
    <x v="4"/>
    <x v="26"/>
    <n v="36"/>
    <n v="6309.4"/>
    <x v="215"/>
    <n v="20"/>
    <n v="181710.72"/>
    <n v="115446.57"/>
    <n v="66264.149999999994"/>
    <n v="36.47"/>
    <x v="0"/>
    <x v="2"/>
    <s v="No"/>
  </r>
  <r>
    <s v="ORD-10217"/>
    <x v="89"/>
    <x v="0"/>
    <s v="Agra"/>
    <x v="11"/>
    <x v="1"/>
    <x v="9"/>
    <n v="25"/>
    <n v="970.38"/>
    <x v="216"/>
    <n v="10"/>
    <n v="21833.55"/>
    <n v="10705.85"/>
    <n v="11127.7"/>
    <n v="50.97"/>
    <x v="3"/>
    <x v="3"/>
    <s v="No"/>
  </r>
  <r>
    <s v="ORD-10218"/>
    <x v="185"/>
    <x v="1"/>
    <s v="Guwahati"/>
    <x v="3"/>
    <x v="2"/>
    <x v="11"/>
    <n v="5"/>
    <n v="5640.48"/>
    <x v="217"/>
    <n v="5"/>
    <n v="26792.28"/>
    <n v="16511.27"/>
    <n v="10281.01"/>
    <n v="38.369999999999997"/>
    <x v="1"/>
    <x v="0"/>
    <s v="No"/>
  </r>
  <r>
    <s v="ORD-10219"/>
    <x v="186"/>
    <x v="0"/>
    <s v="Chandigarh"/>
    <x v="13"/>
    <x v="2"/>
    <x v="42"/>
    <n v="22"/>
    <n v="12679.64"/>
    <x v="218"/>
    <n v="15"/>
    <n v="237109.27"/>
    <n v="152039.9"/>
    <n v="85069.37"/>
    <n v="35.880000000000003"/>
    <x v="4"/>
    <x v="2"/>
    <s v="No"/>
  </r>
  <r>
    <s v="ORD-10220"/>
    <x v="71"/>
    <x v="2"/>
    <s v="Hyderabad"/>
    <x v="9"/>
    <x v="2"/>
    <x v="24"/>
    <n v="21"/>
    <n v="2952.39"/>
    <x v="219"/>
    <n v="15"/>
    <n v="52700.160000000003"/>
    <n v="36395.660000000003"/>
    <n v="16304.5"/>
    <n v="30.94"/>
    <x v="4"/>
    <x v="0"/>
    <s v="No"/>
  </r>
  <r>
    <s v="ORD-10221"/>
    <x v="0"/>
    <x v="1"/>
    <s v="Guwahati"/>
    <x v="2"/>
    <x v="2"/>
    <x v="21"/>
    <n v="8"/>
    <n v="14004.78"/>
    <x v="220"/>
    <n v="5"/>
    <n v="106436.33"/>
    <n v="61484.87"/>
    <n v="44951.46"/>
    <n v="42.23"/>
    <x v="3"/>
    <x v="4"/>
    <s v="No"/>
  </r>
  <r>
    <s v="ORD-10222"/>
    <x v="187"/>
    <x v="0"/>
    <s v="Lucknow"/>
    <x v="9"/>
    <x v="0"/>
    <x v="4"/>
    <n v="19"/>
    <n v="1011.04"/>
    <x v="221"/>
    <n v="0"/>
    <n v="19209.759999999998"/>
    <n v="12403.54"/>
    <n v="6806.22"/>
    <n v="35.43"/>
    <x v="4"/>
    <x v="5"/>
    <s v="No"/>
  </r>
  <r>
    <s v="ORD-10223"/>
    <x v="188"/>
    <x v="2"/>
    <s v="Hyderabad"/>
    <x v="5"/>
    <x v="0"/>
    <x v="27"/>
    <n v="28"/>
    <n v="963.77"/>
    <x v="222"/>
    <n v="0"/>
    <n v="26985.56"/>
    <n v="14429.72"/>
    <n v="12555.84"/>
    <n v="46.53"/>
    <x v="4"/>
    <x v="0"/>
    <s v="No"/>
  </r>
  <r>
    <s v="ORD-10224"/>
    <x v="189"/>
    <x v="3"/>
    <s v="Nagpur"/>
    <x v="5"/>
    <x v="4"/>
    <x v="47"/>
    <n v="35"/>
    <n v="35954.14"/>
    <x v="223"/>
    <n v="0"/>
    <n v="1258394.8999999999"/>
    <n v="544646.93999999994"/>
    <n v="713747.96"/>
    <n v="56.72"/>
    <x v="2"/>
    <x v="5"/>
    <s v="No"/>
  </r>
  <r>
    <s v="ORD-10225"/>
    <x v="190"/>
    <x v="0"/>
    <s v="Agra"/>
    <x v="3"/>
    <x v="0"/>
    <x v="25"/>
    <n v="22"/>
    <n v="1161.5999999999999"/>
    <x v="224"/>
    <n v="15"/>
    <n v="21721.919999999998"/>
    <n v="9379.16"/>
    <n v="12342.76"/>
    <n v="56.82"/>
    <x v="2"/>
    <x v="5"/>
    <s v="No"/>
  </r>
  <r>
    <s v="ORD-10226"/>
    <x v="127"/>
    <x v="2"/>
    <s v="Kochi"/>
    <x v="9"/>
    <x v="2"/>
    <x v="21"/>
    <n v="50"/>
    <n v="10305.49"/>
    <x v="225"/>
    <n v="25"/>
    <n v="386455.88"/>
    <n v="212604.74"/>
    <n v="173851.14"/>
    <n v="44.99"/>
    <x v="0"/>
    <x v="1"/>
    <s v="No"/>
  </r>
  <r>
    <s v="ORD-10227"/>
    <x v="191"/>
    <x v="3"/>
    <s v="Mumbai"/>
    <x v="2"/>
    <x v="4"/>
    <x v="41"/>
    <n v="20"/>
    <n v="21109.55"/>
    <x v="226"/>
    <n v="5"/>
    <n v="401081.45"/>
    <n v="223135.43"/>
    <n v="177946.02"/>
    <n v="44.37"/>
    <x v="4"/>
    <x v="3"/>
    <s v="No"/>
  </r>
  <r>
    <s v="ORD-10228"/>
    <x v="34"/>
    <x v="3"/>
    <s v="Ahmedabad"/>
    <x v="7"/>
    <x v="4"/>
    <x v="29"/>
    <n v="46"/>
    <n v="7613.05"/>
    <x v="227"/>
    <n v="10"/>
    <n v="315180.27"/>
    <n v="187340.31"/>
    <n v="127839.96"/>
    <n v="40.56"/>
    <x v="3"/>
    <x v="4"/>
    <s v="No"/>
  </r>
  <r>
    <s v="ORD-10229"/>
    <x v="147"/>
    <x v="2"/>
    <s v="Coimbatore"/>
    <x v="1"/>
    <x v="1"/>
    <x v="46"/>
    <n v="28"/>
    <n v="4323.47"/>
    <x v="228"/>
    <n v="5"/>
    <n v="115004.3"/>
    <n v="73525.320000000007"/>
    <n v="41478.980000000003"/>
    <n v="36.07"/>
    <x v="3"/>
    <x v="5"/>
    <s v="No"/>
  </r>
  <r>
    <s v="ORD-10230"/>
    <x v="192"/>
    <x v="3"/>
    <s v="Surat"/>
    <x v="9"/>
    <x v="4"/>
    <x v="7"/>
    <n v="38"/>
    <n v="26229.53"/>
    <x v="229"/>
    <n v="0"/>
    <n v="996722.14"/>
    <n v="609416.53"/>
    <n v="387305.61"/>
    <n v="38.86"/>
    <x v="2"/>
    <x v="4"/>
    <s v="No"/>
  </r>
  <r>
    <s v="ORD-10231"/>
    <x v="193"/>
    <x v="0"/>
    <s v="Agra"/>
    <x v="2"/>
    <x v="4"/>
    <x v="41"/>
    <n v="21"/>
    <n v="12466.8"/>
    <x v="230"/>
    <n v="0"/>
    <n v="261802.8"/>
    <n v="125326.58"/>
    <n v="136476.22"/>
    <n v="52.13"/>
    <x v="1"/>
    <x v="4"/>
    <s v="No"/>
  </r>
  <r>
    <s v="ORD-10232"/>
    <x v="194"/>
    <x v="3"/>
    <s v="Nagpur"/>
    <x v="2"/>
    <x v="3"/>
    <x v="31"/>
    <n v="23"/>
    <n v="2136.9699999999998"/>
    <x v="231"/>
    <n v="20"/>
    <n v="39320.25"/>
    <n v="17763.25"/>
    <n v="21557"/>
    <n v="54.82"/>
    <x v="2"/>
    <x v="0"/>
    <s v="No"/>
  </r>
  <r>
    <s v="ORD-10233"/>
    <x v="195"/>
    <x v="2"/>
    <s v="Hyderabad"/>
    <x v="14"/>
    <x v="4"/>
    <x v="7"/>
    <n v="8"/>
    <n v="11636.24"/>
    <x v="232"/>
    <n v="25"/>
    <n v="69817.440000000002"/>
    <n v="30887.759999999998"/>
    <n v="38929.68"/>
    <n v="55.76"/>
    <x v="4"/>
    <x v="0"/>
    <s v="No"/>
  </r>
  <r>
    <s v="ORD-10234"/>
    <x v="196"/>
    <x v="3"/>
    <s v="Surat"/>
    <x v="11"/>
    <x v="1"/>
    <x v="34"/>
    <n v="35"/>
    <n v="3197.09"/>
    <x v="233"/>
    <n v="25"/>
    <n v="83923.61"/>
    <n v="57001.63"/>
    <n v="26921.98"/>
    <n v="32.08"/>
    <x v="1"/>
    <x v="5"/>
    <s v="No"/>
  </r>
  <r>
    <s v="ORD-10235"/>
    <x v="197"/>
    <x v="2"/>
    <s v="Bangalore"/>
    <x v="10"/>
    <x v="2"/>
    <x v="11"/>
    <n v="4"/>
    <n v="13029.9"/>
    <x v="234"/>
    <n v="0"/>
    <n v="52119.6"/>
    <n v="28425.13"/>
    <n v="23694.47"/>
    <n v="45.46"/>
    <x v="4"/>
    <x v="0"/>
    <s v="No"/>
  </r>
  <r>
    <s v="ORD-10236"/>
    <x v="198"/>
    <x v="3"/>
    <s v="Surat"/>
    <x v="13"/>
    <x v="0"/>
    <x v="3"/>
    <n v="46"/>
    <n v="1020.68"/>
    <x v="235"/>
    <n v="15"/>
    <n v="39908.589999999997"/>
    <n v="17965.89"/>
    <n v="21942.7"/>
    <n v="54.98"/>
    <x v="0"/>
    <x v="5"/>
    <s v="No"/>
  </r>
  <r>
    <s v="ORD-10237"/>
    <x v="185"/>
    <x v="1"/>
    <s v="Bhubaneswar"/>
    <x v="8"/>
    <x v="5"/>
    <x v="40"/>
    <n v="50"/>
    <n v="3767.11"/>
    <x v="236"/>
    <n v="25"/>
    <n v="141266.62"/>
    <n v="89247.21"/>
    <n v="52019.41"/>
    <n v="36.82"/>
    <x v="1"/>
    <x v="0"/>
    <s v="No"/>
  </r>
  <r>
    <s v="ORD-10238"/>
    <x v="199"/>
    <x v="0"/>
    <s v="Jaipur"/>
    <x v="1"/>
    <x v="5"/>
    <x v="36"/>
    <n v="49"/>
    <n v="524.55999999999995"/>
    <x v="237"/>
    <n v="25"/>
    <n v="19277.580000000002"/>
    <n v="10263.58"/>
    <n v="9014"/>
    <n v="46.76"/>
    <x v="4"/>
    <x v="3"/>
    <s v="No"/>
  </r>
  <r>
    <s v="ORD-10239"/>
    <x v="200"/>
    <x v="2"/>
    <s v="Hyderabad"/>
    <x v="14"/>
    <x v="4"/>
    <x v="39"/>
    <n v="23"/>
    <n v="51842.22"/>
    <x v="238"/>
    <n v="0"/>
    <n v="1192371.06"/>
    <n v="634008.69999999995"/>
    <n v="558362.36"/>
    <n v="46.83"/>
    <x v="3"/>
    <x v="5"/>
    <s v="No"/>
  </r>
  <r>
    <s v="ORD-10240"/>
    <x v="201"/>
    <x v="1"/>
    <s v="Ranchi"/>
    <x v="8"/>
    <x v="0"/>
    <x v="25"/>
    <n v="40"/>
    <n v="235.94"/>
    <x v="239"/>
    <n v="5"/>
    <n v="8965.7199999999993"/>
    <n v="5774.45"/>
    <n v="3191.27"/>
    <n v="35.590000000000003"/>
    <x v="1"/>
    <x v="2"/>
    <s v="No"/>
  </r>
  <r>
    <s v="ORD-10241"/>
    <x v="202"/>
    <x v="2"/>
    <s v="Hyderabad"/>
    <x v="14"/>
    <x v="0"/>
    <x v="0"/>
    <n v="37"/>
    <n v="379.42"/>
    <x v="240"/>
    <n v="20"/>
    <n v="11230.83"/>
    <n v="7812.69"/>
    <n v="3418.14"/>
    <n v="30.44"/>
    <x v="0"/>
    <x v="5"/>
    <s v="No"/>
  </r>
  <r>
    <s v="ORD-10242"/>
    <x v="203"/>
    <x v="3"/>
    <s v="Mumbai"/>
    <x v="5"/>
    <x v="2"/>
    <x v="28"/>
    <n v="9"/>
    <n v="4007.77"/>
    <x v="241"/>
    <n v="25"/>
    <n v="27052.45"/>
    <n v="13435.03"/>
    <n v="13617.42"/>
    <n v="50.34"/>
    <x v="4"/>
    <x v="1"/>
    <s v="No"/>
  </r>
  <r>
    <s v="ORD-10243"/>
    <x v="204"/>
    <x v="1"/>
    <s v="Guwahati"/>
    <x v="12"/>
    <x v="3"/>
    <x v="18"/>
    <n v="41"/>
    <n v="2017.31"/>
    <x v="242"/>
    <n v="0"/>
    <n v="82709.710000000006"/>
    <n v="43079.79"/>
    <n v="39629.919999999998"/>
    <n v="47.91"/>
    <x v="2"/>
    <x v="1"/>
    <s v="No"/>
  </r>
  <r>
    <s v="ORD-10244"/>
    <x v="205"/>
    <x v="1"/>
    <s v="Ranchi"/>
    <x v="5"/>
    <x v="4"/>
    <x v="26"/>
    <n v="30"/>
    <n v="38382.559999999998"/>
    <x v="243"/>
    <n v="25"/>
    <n v="863607.6"/>
    <n v="438252.2"/>
    <n v="425355.4"/>
    <n v="49.25"/>
    <x v="1"/>
    <x v="1"/>
    <s v="No"/>
  </r>
  <r>
    <s v="ORD-10245"/>
    <x v="206"/>
    <x v="3"/>
    <s v="Pune"/>
    <x v="2"/>
    <x v="3"/>
    <x v="6"/>
    <n v="19"/>
    <n v="943.72"/>
    <x v="244"/>
    <n v="20"/>
    <n v="14344.54"/>
    <n v="6299.81"/>
    <n v="8044.73"/>
    <n v="56.08"/>
    <x v="2"/>
    <x v="4"/>
    <s v="No"/>
  </r>
  <r>
    <s v="ORD-10246"/>
    <x v="207"/>
    <x v="0"/>
    <s v="Delhi"/>
    <x v="7"/>
    <x v="0"/>
    <x v="3"/>
    <n v="8"/>
    <n v="1120.96"/>
    <x v="245"/>
    <n v="5"/>
    <n v="8519.2999999999993"/>
    <n v="4535.55"/>
    <n v="3983.75"/>
    <n v="46.76"/>
    <x v="4"/>
    <x v="5"/>
    <s v="No"/>
  </r>
  <r>
    <s v="ORD-10247"/>
    <x v="208"/>
    <x v="2"/>
    <s v="Hyderabad"/>
    <x v="12"/>
    <x v="1"/>
    <x v="8"/>
    <n v="42"/>
    <n v="1781.85"/>
    <x v="246"/>
    <n v="0"/>
    <n v="74837.7"/>
    <n v="38283.46"/>
    <n v="36554.239999999998"/>
    <n v="48.84"/>
    <x v="3"/>
    <x v="3"/>
    <s v="No"/>
  </r>
  <r>
    <s v="ORD-10248"/>
    <x v="209"/>
    <x v="1"/>
    <s v="Bhubaneswar"/>
    <x v="5"/>
    <x v="3"/>
    <x v="31"/>
    <n v="7"/>
    <n v="152.55000000000001"/>
    <x v="247"/>
    <n v="15"/>
    <n v="907.67"/>
    <n v="384.29"/>
    <n v="523.38"/>
    <n v="57.66"/>
    <x v="3"/>
    <x v="0"/>
    <s v="No"/>
  </r>
  <r>
    <s v="ORD-10249"/>
    <x v="210"/>
    <x v="0"/>
    <s v="Delhi"/>
    <x v="6"/>
    <x v="0"/>
    <x v="37"/>
    <n v="8"/>
    <n v="1186.73"/>
    <x v="248"/>
    <n v="15"/>
    <n v="8069.76"/>
    <n v="4908.1000000000004"/>
    <n v="3161.66"/>
    <n v="39.18"/>
    <x v="0"/>
    <x v="5"/>
    <s v="No"/>
  </r>
  <r>
    <s v="ORD-10250"/>
    <x v="34"/>
    <x v="0"/>
    <s v="Delhi"/>
    <x v="4"/>
    <x v="2"/>
    <x v="5"/>
    <n v="20"/>
    <n v="2358.94"/>
    <x v="249"/>
    <n v="5"/>
    <n v="44819.86"/>
    <n v="26554.55"/>
    <n v="18265.310000000001"/>
    <n v="40.75"/>
    <x v="3"/>
    <x v="3"/>
    <s v="No"/>
  </r>
  <r>
    <s v="ORD-10251"/>
    <x v="79"/>
    <x v="0"/>
    <s v="Agra"/>
    <x v="9"/>
    <x v="0"/>
    <x v="27"/>
    <n v="23"/>
    <n v="889.12"/>
    <x v="250"/>
    <n v="25"/>
    <n v="15337.32"/>
    <n v="9577.86"/>
    <n v="5759.46"/>
    <n v="37.549999999999997"/>
    <x v="1"/>
    <x v="4"/>
    <s v="No"/>
  </r>
  <r>
    <s v="ORD-10252"/>
    <x v="125"/>
    <x v="2"/>
    <s v="Chennai"/>
    <x v="3"/>
    <x v="4"/>
    <x v="41"/>
    <n v="8"/>
    <n v="35702.78"/>
    <x v="251"/>
    <n v="15"/>
    <n v="242778.9"/>
    <n v="122715.19"/>
    <n v="120063.71"/>
    <n v="49.45"/>
    <x v="2"/>
    <x v="5"/>
    <s v="No"/>
  </r>
  <r>
    <s v="ORD-10253"/>
    <x v="192"/>
    <x v="0"/>
    <s v="Chandigarh"/>
    <x v="3"/>
    <x v="5"/>
    <x v="40"/>
    <n v="45"/>
    <n v="409.23"/>
    <x v="252"/>
    <n v="25"/>
    <n v="13811.51"/>
    <n v="9153.5499999999993"/>
    <n v="4657.96"/>
    <n v="33.729999999999997"/>
    <x v="1"/>
    <x v="0"/>
    <s v="No"/>
  </r>
  <r>
    <s v="ORD-10254"/>
    <x v="211"/>
    <x v="3"/>
    <s v="Ahmedabad"/>
    <x v="3"/>
    <x v="0"/>
    <x v="23"/>
    <n v="16"/>
    <n v="634.27"/>
    <x v="253"/>
    <n v="0"/>
    <n v="10148.32"/>
    <n v="4793.3"/>
    <n v="5355.02"/>
    <n v="52.77"/>
    <x v="1"/>
    <x v="3"/>
    <s v="No"/>
  </r>
  <r>
    <s v="ORD-10255"/>
    <x v="212"/>
    <x v="0"/>
    <s v="Jaipur"/>
    <x v="13"/>
    <x v="2"/>
    <x v="28"/>
    <n v="37"/>
    <n v="6515.65"/>
    <x v="254"/>
    <n v="20"/>
    <n v="192863.24"/>
    <n v="116659.62"/>
    <n v="76203.62"/>
    <n v="39.51"/>
    <x v="0"/>
    <x v="3"/>
    <s v="No"/>
  </r>
  <r>
    <s v="ORD-10256"/>
    <x v="109"/>
    <x v="0"/>
    <s v="Jaipur"/>
    <x v="4"/>
    <x v="1"/>
    <x v="32"/>
    <n v="4"/>
    <n v="4281.8900000000003"/>
    <x v="255"/>
    <n v="15"/>
    <n v="14558.43"/>
    <n v="8036.01"/>
    <n v="6522.42"/>
    <n v="44.8"/>
    <x v="1"/>
    <x v="1"/>
    <s v="No"/>
  </r>
  <r>
    <s v="ORD-10257"/>
    <x v="213"/>
    <x v="3"/>
    <s v="Mumbai"/>
    <x v="14"/>
    <x v="0"/>
    <x v="27"/>
    <n v="6"/>
    <n v="427.1"/>
    <x v="256"/>
    <n v="20"/>
    <n v="2050.08"/>
    <n v="1386.42"/>
    <n v="663.66"/>
    <n v="32.369999999999997"/>
    <x v="1"/>
    <x v="2"/>
    <s v="No"/>
  </r>
  <r>
    <s v="ORD-10258"/>
    <x v="214"/>
    <x v="0"/>
    <s v="Jaipur"/>
    <x v="5"/>
    <x v="0"/>
    <x v="25"/>
    <n v="16"/>
    <n v="144.85"/>
    <x v="257"/>
    <n v="0"/>
    <n v="2317.6"/>
    <n v="1569.92"/>
    <n v="747.68"/>
    <n v="32.26"/>
    <x v="4"/>
    <x v="0"/>
    <s v="No"/>
  </r>
  <r>
    <s v="ORD-10259"/>
    <x v="215"/>
    <x v="1"/>
    <s v="Bhubaneswar"/>
    <x v="5"/>
    <x v="4"/>
    <x v="14"/>
    <n v="9"/>
    <n v="42328.78"/>
    <x v="258"/>
    <n v="5"/>
    <n v="361911.07"/>
    <n v="198661.63"/>
    <n v="163249.44"/>
    <n v="45.11"/>
    <x v="1"/>
    <x v="0"/>
    <s v="No"/>
  </r>
  <r>
    <s v="ORD-10260"/>
    <x v="216"/>
    <x v="1"/>
    <s v="Bhubaneswar"/>
    <x v="5"/>
    <x v="2"/>
    <x v="28"/>
    <n v="50"/>
    <n v="13146.19"/>
    <x v="259"/>
    <n v="25"/>
    <n v="492982.12"/>
    <n v="328288.84000000003"/>
    <n v="164693.28"/>
    <n v="33.409999999999997"/>
    <x v="2"/>
    <x v="1"/>
    <s v="No"/>
  </r>
  <r>
    <s v="ORD-10261"/>
    <x v="133"/>
    <x v="0"/>
    <s v="Jaipur"/>
    <x v="9"/>
    <x v="0"/>
    <x v="16"/>
    <n v="30"/>
    <n v="652.08000000000004"/>
    <x v="260"/>
    <n v="0"/>
    <n v="19562.400000000001"/>
    <n v="10757.03"/>
    <n v="8805.3700000000008"/>
    <n v="45.01"/>
    <x v="3"/>
    <x v="2"/>
    <s v="No"/>
  </r>
  <r>
    <s v="ORD-10262"/>
    <x v="217"/>
    <x v="0"/>
    <s v="Agra"/>
    <x v="0"/>
    <x v="0"/>
    <x v="16"/>
    <n v="48"/>
    <n v="649.88"/>
    <x v="261"/>
    <n v="0"/>
    <n v="31194.240000000002"/>
    <n v="20513.54"/>
    <n v="10680.7"/>
    <n v="34.24"/>
    <x v="3"/>
    <x v="3"/>
    <s v="No"/>
  </r>
  <r>
    <s v="ORD-10263"/>
    <x v="189"/>
    <x v="3"/>
    <s v="Pune"/>
    <x v="1"/>
    <x v="1"/>
    <x v="32"/>
    <n v="46"/>
    <n v="3397.83"/>
    <x v="262"/>
    <n v="15"/>
    <n v="132855.15"/>
    <n v="62090.46"/>
    <n v="70764.69"/>
    <n v="53.26"/>
    <x v="4"/>
    <x v="4"/>
    <s v="No"/>
  </r>
  <r>
    <s v="ORD-10264"/>
    <x v="218"/>
    <x v="0"/>
    <s v="Agra"/>
    <x v="1"/>
    <x v="2"/>
    <x v="35"/>
    <n v="44"/>
    <n v="13563.44"/>
    <x v="263"/>
    <n v="5"/>
    <n v="566951.79"/>
    <n v="264741.27"/>
    <n v="302210.52"/>
    <n v="53.3"/>
    <x v="0"/>
    <x v="1"/>
    <s v="No"/>
  </r>
  <r>
    <s v="ORD-10265"/>
    <x v="219"/>
    <x v="3"/>
    <s v="Ahmedabad"/>
    <x v="12"/>
    <x v="2"/>
    <x v="5"/>
    <n v="36"/>
    <n v="7041.33"/>
    <x v="264"/>
    <n v="10"/>
    <n v="228139.09"/>
    <n v="104989.92"/>
    <n v="123149.17"/>
    <n v="53.98"/>
    <x v="2"/>
    <x v="4"/>
    <s v="No"/>
  </r>
  <r>
    <s v="ORD-10266"/>
    <x v="175"/>
    <x v="3"/>
    <s v="Ahmedabad"/>
    <x v="3"/>
    <x v="5"/>
    <x v="15"/>
    <n v="50"/>
    <n v="1724.29"/>
    <x v="265"/>
    <n v="20"/>
    <n v="68971.600000000006"/>
    <n v="43324.14"/>
    <n v="25647.46"/>
    <n v="37.19"/>
    <x v="3"/>
    <x v="3"/>
    <s v="No"/>
  </r>
  <r>
    <s v="ORD-10267"/>
    <x v="220"/>
    <x v="0"/>
    <s v="Chandigarh"/>
    <x v="11"/>
    <x v="5"/>
    <x v="36"/>
    <n v="45"/>
    <n v="7042.15"/>
    <x v="266"/>
    <n v="10"/>
    <n v="285207.08"/>
    <n v="114207.93"/>
    <n v="170999.15"/>
    <n v="59.96"/>
    <x v="4"/>
    <x v="4"/>
    <s v="No"/>
  </r>
  <r>
    <s v="ORD-10268"/>
    <x v="221"/>
    <x v="0"/>
    <s v="Chandigarh"/>
    <x v="13"/>
    <x v="5"/>
    <x v="22"/>
    <n v="32"/>
    <n v="7697.24"/>
    <x v="267"/>
    <n v="5"/>
    <n v="233996.1"/>
    <n v="143555.60999999999"/>
    <n v="90440.49"/>
    <n v="38.65"/>
    <x v="0"/>
    <x v="5"/>
    <s v="No"/>
  </r>
  <r>
    <s v="ORD-10269"/>
    <x v="222"/>
    <x v="3"/>
    <s v="Ahmedabad"/>
    <x v="10"/>
    <x v="3"/>
    <x v="31"/>
    <n v="7"/>
    <n v="1337.76"/>
    <x v="268"/>
    <n v="25"/>
    <n v="7023.24"/>
    <n v="4536.93"/>
    <n v="2486.31"/>
    <n v="35.4"/>
    <x v="1"/>
    <x v="0"/>
    <s v="No"/>
  </r>
  <r>
    <s v="ORD-10270"/>
    <x v="223"/>
    <x v="2"/>
    <s v="Bangalore"/>
    <x v="6"/>
    <x v="2"/>
    <x v="44"/>
    <n v="21"/>
    <n v="13916.51"/>
    <x v="269"/>
    <n v="15"/>
    <n v="248409.7"/>
    <n v="151583.99"/>
    <n v="96825.71"/>
    <n v="38.979999999999997"/>
    <x v="2"/>
    <x v="1"/>
    <s v="No"/>
  </r>
  <r>
    <s v="ORD-10271"/>
    <x v="224"/>
    <x v="0"/>
    <s v="Chandigarh"/>
    <x v="8"/>
    <x v="1"/>
    <x v="10"/>
    <n v="7"/>
    <n v="948.59"/>
    <x v="270"/>
    <n v="15"/>
    <n v="5644.11"/>
    <n v="2789.38"/>
    <n v="2854.73"/>
    <n v="50.58"/>
    <x v="1"/>
    <x v="2"/>
    <s v="No"/>
  </r>
  <r>
    <s v="ORD-10272"/>
    <x v="225"/>
    <x v="2"/>
    <s v="Kochi"/>
    <x v="14"/>
    <x v="2"/>
    <x v="11"/>
    <n v="8"/>
    <n v="1674.67"/>
    <x v="271"/>
    <n v="25"/>
    <n v="10048.02"/>
    <n v="4936.24"/>
    <n v="5111.78"/>
    <n v="50.87"/>
    <x v="1"/>
    <x v="3"/>
    <s v="No"/>
  </r>
  <r>
    <s v="ORD-10273"/>
    <x v="226"/>
    <x v="1"/>
    <s v="Bhubaneswar"/>
    <x v="2"/>
    <x v="4"/>
    <x v="7"/>
    <n v="26"/>
    <n v="31196.81"/>
    <x v="272"/>
    <n v="25"/>
    <n v="608337.80000000005"/>
    <n v="297873.95"/>
    <n v="310463.84999999998"/>
    <n v="51.03"/>
    <x v="0"/>
    <x v="1"/>
    <s v="No"/>
  </r>
  <r>
    <s v="ORD-10274"/>
    <x v="30"/>
    <x v="2"/>
    <s v="Chennai"/>
    <x v="3"/>
    <x v="3"/>
    <x v="31"/>
    <n v="9"/>
    <n v="435.42"/>
    <x v="273"/>
    <n v="0"/>
    <n v="3918.78"/>
    <n v="2543.73"/>
    <n v="1375.05"/>
    <n v="35.090000000000003"/>
    <x v="3"/>
    <x v="5"/>
    <s v="No"/>
  </r>
  <r>
    <s v="ORD-10275"/>
    <x v="227"/>
    <x v="1"/>
    <s v="Kolkata"/>
    <x v="4"/>
    <x v="5"/>
    <x v="40"/>
    <n v="5"/>
    <n v="370.04"/>
    <x v="274"/>
    <n v="0"/>
    <n v="1850.2"/>
    <n v="849.84"/>
    <n v="1000.36"/>
    <n v="54.07"/>
    <x v="4"/>
    <x v="5"/>
    <s v="No"/>
  </r>
  <r>
    <s v="ORD-10276"/>
    <x v="228"/>
    <x v="1"/>
    <s v="Kolkata"/>
    <x v="7"/>
    <x v="4"/>
    <x v="39"/>
    <n v="11"/>
    <n v="55508.6"/>
    <x v="275"/>
    <n v="15"/>
    <n v="519005.41"/>
    <n v="335539.90999999997"/>
    <n v="183465.5"/>
    <n v="35.35"/>
    <x v="4"/>
    <x v="3"/>
    <s v="No"/>
  </r>
  <r>
    <s v="ORD-10277"/>
    <x v="229"/>
    <x v="3"/>
    <s v="Pune"/>
    <x v="4"/>
    <x v="2"/>
    <x v="24"/>
    <n v="12"/>
    <n v="4378.4799999999996"/>
    <x v="276"/>
    <n v="15"/>
    <n v="44660.5"/>
    <n v="29700.44"/>
    <n v="14960.06"/>
    <n v="33.5"/>
    <x v="1"/>
    <x v="0"/>
    <s v="No"/>
  </r>
  <r>
    <s v="ORD-10278"/>
    <x v="43"/>
    <x v="1"/>
    <s v="Guwahati"/>
    <x v="7"/>
    <x v="3"/>
    <x v="18"/>
    <n v="6"/>
    <n v="807.47"/>
    <x v="277"/>
    <n v="5"/>
    <n v="4602.58"/>
    <n v="2419.9"/>
    <n v="2182.6799999999998"/>
    <n v="47.42"/>
    <x v="1"/>
    <x v="5"/>
    <s v="No"/>
  </r>
  <r>
    <s v="ORD-10279"/>
    <x v="230"/>
    <x v="0"/>
    <s v="Lucknow"/>
    <x v="9"/>
    <x v="0"/>
    <x v="37"/>
    <n v="35"/>
    <n v="955.21"/>
    <x v="278"/>
    <n v="10"/>
    <n v="30089.11"/>
    <n v="20274.14"/>
    <n v="9814.9699999999993"/>
    <n v="32.619999999999997"/>
    <x v="2"/>
    <x v="1"/>
    <s v="No"/>
  </r>
  <r>
    <s v="ORD-10280"/>
    <x v="231"/>
    <x v="0"/>
    <s v="Jaipur"/>
    <x v="7"/>
    <x v="5"/>
    <x v="22"/>
    <n v="50"/>
    <n v="2391.27"/>
    <x v="279"/>
    <n v="15"/>
    <n v="101628.97"/>
    <n v="56793.29"/>
    <n v="44835.68"/>
    <n v="44.12"/>
    <x v="3"/>
    <x v="5"/>
    <s v="No"/>
  </r>
  <r>
    <s v="ORD-10281"/>
    <x v="196"/>
    <x v="2"/>
    <s v="Hyderabad"/>
    <x v="3"/>
    <x v="5"/>
    <x v="20"/>
    <n v="15"/>
    <n v="4690.3999999999996"/>
    <x v="280"/>
    <n v="15"/>
    <n v="59802.6"/>
    <n v="30286.51"/>
    <n v="29516.09"/>
    <n v="49.36"/>
    <x v="3"/>
    <x v="5"/>
    <s v="No"/>
  </r>
  <r>
    <s v="ORD-10282"/>
    <x v="89"/>
    <x v="1"/>
    <s v="Ranchi"/>
    <x v="10"/>
    <x v="4"/>
    <x v="47"/>
    <n v="37"/>
    <n v="9212.4599999999991"/>
    <x v="281"/>
    <n v="5"/>
    <n v="323817.96999999997"/>
    <n v="210808.43"/>
    <n v="113009.54"/>
    <n v="34.9"/>
    <x v="1"/>
    <x v="2"/>
    <s v="No"/>
  </r>
  <r>
    <s v="ORD-10283"/>
    <x v="183"/>
    <x v="0"/>
    <s v="Delhi"/>
    <x v="10"/>
    <x v="4"/>
    <x v="7"/>
    <n v="15"/>
    <n v="1979.74"/>
    <x v="282"/>
    <n v="15"/>
    <n v="25241.68"/>
    <n v="10101.85"/>
    <n v="15139.83"/>
    <n v="59.98"/>
    <x v="3"/>
    <x v="5"/>
    <s v="No"/>
  </r>
  <r>
    <s v="ORD-10284"/>
    <x v="232"/>
    <x v="2"/>
    <s v="Hyderabad"/>
    <x v="8"/>
    <x v="4"/>
    <x v="14"/>
    <n v="38"/>
    <n v="42518.02"/>
    <x v="283"/>
    <n v="5"/>
    <n v="1534900.52"/>
    <n v="970532.87"/>
    <n v="564367.65"/>
    <n v="36.770000000000003"/>
    <x v="2"/>
    <x v="3"/>
    <s v="No"/>
  </r>
  <r>
    <s v="ORD-10285"/>
    <x v="233"/>
    <x v="3"/>
    <s v="Nagpur"/>
    <x v="14"/>
    <x v="4"/>
    <x v="47"/>
    <n v="21"/>
    <n v="8877.94"/>
    <x v="284"/>
    <n v="5"/>
    <n v="177114.9"/>
    <n v="109759.1"/>
    <n v="67355.8"/>
    <n v="38.03"/>
    <x v="4"/>
    <x v="4"/>
    <s v="No"/>
  </r>
  <r>
    <s v="ORD-10286"/>
    <x v="32"/>
    <x v="1"/>
    <s v="Bhubaneswar"/>
    <x v="13"/>
    <x v="0"/>
    <x v="27"/>
    <n v="20"/>
    <n v="902.07"/>
    <x v="285"/>
    <n v="10"/>
    <n v="16237.26"/>
    <n v="7115.24"/>
    <n v="9122.02"/>
    <n v="56.18"/>
    <x v="1"/>
    <x v="1"/>
    <s v="No"/>
  </r>
  <r>
    <s v="ORD-10287"/>
    <x v="234"/>
    <x v="0"/>
    <s v="Chandigarh"/>
    <x v="4"/>
    <x v="5"/>
    <x v="36"/>
    <n v="40"/>
    <n v="1922.98"/>
    <x v="286"/>
    <n v="20"/>
    <n v="61535.360000000001"/>
    <n v="26536.080000000002"/>
    <n v="34999.279999999999"/>
    <n v="56.88"/>
    <x v="3"/>
    <x v="2"/>
    <s v="No"/>
  </r>
  <r>
    <s v="ORD-10288"/>
    <x v="36"/>
    <x v="2"/>
    <s v="Hyderabad"/>
    <x v="11"/>
    <x v="2"/>
    <x v="28"/>
    <n v="6"/>
    <n v="12387.35"/>
    <x v="287"/>
    <n v="25"/>
    <n v="55743.08"/>
    <n v="32984.9"/>
    <n v="22758.18"/>
    <n v="40.83"/>
    <x v="4"/>
    <x v="3"/>
    <s v="No"/>
  </r>
  <r>
    <s v="ORD-10289"/>
    <x v="235"/>
    <x v="2"/>
    <s v="Chennai"/>
    <x v="3"/>
    <x v="2"/>
    <x v="44"/>
    <n v="7"/>
    <n v="10904.06"/>
    <x v="288"/>
    <n v="0"/>
    <n v="76328.42"/>
    <n v="39368.76"/>
    <n v="36959.660000000003"/>
    <n v="48.42"/>
    <x v="3"/>
    <x v="1"/>
    <s v="No"/>
  </r>
  <r>
    <s v="ORD-10290"/>
    <x v="236"/>
    <x v="3"/>
    <s v="Ahmedabad"/>
    <x v="12"/>
    <x v="5"/>
    <x v="38"/>
    <n v="31"/>
    <n v="6352.09"/>
    <x v="289"/>
    <n v="20"/>
    <n v="157531.82999999999"/>
    <n v="93777.26"/>
    <n v="63754.57"/>
    <n v="40.47"/>
    <x v="3"/>
    <x v="5"/>
    <s v="No"/>
  </r>
  <r>
    <s v="ORD-10291"/>
    <x v="121"/>
    <x v="0"/>
    <s v="Jaipur"/>
    <x v="14"/>
    <x v="4"/>
    <x v="47"/>
    <n v="7"/>
    <n v="5192.66"/>
    <x v="290"/>
    <n v="5"/>
    <n v="34531.19"/>
    <n v="23010.87"/>
    <n v="11520.32"/>
    <n v="33.36"/>
    <x v="0"/>
    <x v="0"/>
    <s v="No"/>
  </r>
  <r>
    <s v="ORD-10292"/>
    <x v="237"/>
    <x v="0"/>
    <s v="Jaipur"/>
    <x v="5"/>
    <x v="5"/>
    <x v="15"/>
    <n v="2"/>
    <n v="3564.32"/>
    <x v="291"/>
    <n v="25"/>
    <n v="5346.48"/>
    <n v="2403.2399999999998"/>
    <n v="2943.24"/>
    <n v="55.05"/>
    <x v="3"/>
    <x v="3"/>
    <s v="No"/>
  </r>
  <r>
    <s v="ORD-10293"/>
    <x v="238"/>
    <x v="2"/>
    <s v="Bangalore"/>
    <x v="11"/>
    <x v="3"/>
    <x v="6"/>
    <n v="19"/>
    <n v="848.89"/>
    <x v="292"/>
    <n v="0"/>
    <n v="16128.91"/>
    <n v="6691.73"/>
    <n v="9437.18"/>
    <n v="58.51"/>
    <x v="1"/>
    <x v="1"/>
    <s v="No"/>
  </r>
  <r>
    <s v="ORD-10294"/>
    <x v="94"/>
    <x v="1"/>
    <s v="Kolkata"/>
    <x v="14"/>
    <x v="3"/>
    <x v="31"/>
    <n v="43"/>
    <n v="1618.96"/>
    <x v="293"/>
    <n v="15"/>
    <n v="59172.99"/>
    <n v="27213.8"/>
    <n v="31959.19"/>
    <n v="54.01"/>
    <x v="3"/>
    <x v="5"/>
    <s v="No"/>
  </r>
  <r>
    <s v="ORD-10295"/>
    <x v="239"/>
    <x v="0"/>
    <s v="Lucknow"/>
    <x v="3"/>
    <x v="4"/>
    <x v="29"/>
    <n v="26"/>
    <n v="28679.91"/>
    <x v="294"/>
    <n v="25"/>
    <n v="559258.24"/>
    <n v="268165.06"/>
    <n v="291093.18"/>
    <n v="52.05"/>
    <x v="1"/>
    <x v="1"/>
    <s v="No"/>
  </r>
  <r>
    <s v="ORD-10296"/>
    <x v="240"/>
    <x v="3"/>
    <s v="Ahmedabad"/>
    <x v="7"/>
    <x v="1"/>
    <x v="34"/>
    <n v="17"/>
    <n v="2118.9"/>
    <x v="295"/>
    <n v="10"/>
    <n v="32419.17"/>
    <n v="15168.04"/>
    <n v="17251.13"/>
    <n v="53.21"/>
    <x v="1"/>
    <x v="3"/>
    <s v="No"/>
  </r>
  <r>
    <s v="ORD-10297"/>
    <x v="241"/>
    <x v="0"/>
    <s v="Delhi"/>
    <x v="3"/>
    <x v="0"/>
    <x v="37"/>
    <n v="35"/>
    <n v="543.66999999999996"/>
    <x v="296"/>
    <n v="20"/>
    <n v="15222.76"/>
    <n v="7128.12"/>
    <n v="8094.64"/>
    <n v="53.17"/>
    <x v="4"/>
    <x v="0"/>
    <s v="No"/>
  </r>
  <r>
    <s v="ORD-10298"/>
    <x v="242"/>
    <x v="3"/>
    <s v="Nagpur"/>
    <x v="14"/>
    <x v="1"/>
    <x v="34"/>
    <n v="6"/>
    <n v="1927.92"/>
    <x v="297"/>
    <n v="25"/>
    <n v="8675.64"/>
    <n v="3560.64"/>
    <n v="5115"/>
    <n v="58.96"/>
    <x v="1"/>
    <x v="0"/>
    <s v="No"/>
  </r>
  <r>
    <s v="ORD-10299"/>
    <x v="243"/>
    <x v="2"/>
    <s v="Chennai"/>
    <x v="8"/>
    <x v="3"/>
    <x v="19"/>
    <n v="14"/>
    <n v="2049.88"/>
    <x v="298"/>
    <n v="5"/>
    <n v="27263.4"/>
    <n v="11254.41"/>
    <n v="16008.99"/>
    <n v="58.72"/>
    <x v="4"/>
    <x v="5"/>
    <s v="No"/>
  </r>
  <r>
    <s v="ORD-10300"/>
    <x v="100"/>
    <x v="2"/>
    <s v="Coimbatore"/>
    <x v="4"/>
    <x v="2"/>
    <x v="5"/>
    <n v="47"/>
    <n v="13742.65"/>
    <x v="299"/>
    <n v="0"/>
    <n v="645904.55000000005"/>
    <n v="275225.25"/>
    <n v="370679.3"/>
    <n v="57.39"/>
    <x v="4"/>
    <x v="0"/>
    <s v="No"/>
  </r>
  <r>
    <s v="ORD-10301"/>
    <x v="164"/>
    <x v="1"/>
    <s v="Ranchi"/>
    <x v="3"/>
    <x v="3"/>
    <x v="45"/>
    <n v="45"/>
    <n v="1614.19"/>
    <x v="300"/>
    <n v="20"/>
    <n v="58110.84"/>
    <n v="36871.660000000003"/>
    <n v="21239.18"/>
    <n v="36.549999999999997"/>
    <x v="4"/>
    <x v="5"/>
    <s v="No"/>
  </r>
  <r>
    <s v="ORD-10302"/>
    <x v="144"/>
    <x v="0"/>
    <s v="Delhi"/>
    <x v="3"/>
    <x v="5"/>
    <x v="30"/>
    <n v="19"/>
    <n v="6966.31"/>
    <x v="301"/>
    <n v="10"/>
    <n v="119123.9"/>
    <n v="79022.990000000005"/>
    <n v="40100.910000000003"/>
    <n v="33.659999999999997"/>
    <x v="4"/>
    <x v="4"/>
    <s v="No"/>
  </r>
  <r>
    <s v="ORD-10303"/>
    <x v="244"/>
    <x v="3"/>
    <s v="Mumbai"/>
    <x v="13"/>
    <x v="1"/>
    <x v="8"/>
    <n v="10"/>
    <n v="2877.54"/>
    <x v="302"/>
    <n v="25"/>
    <n v="21581.55"/>
    <n v="13123.71"/>
    <n v="8457.84"/>
    <n v="39.19"/>
    <x v="4"/>
    <x v="2"/>
    <s v="No"/>
  </r>
  <r>
    <s v="ORD-10304"/>
    <x v="245"/>
    <x v="0"/>
    <s v="Lucknow"/>
    <x v="7"/>
    <x v="2"/>
    <x v="5"/>
    <n v="22"/>
    <n v="12324.7"/>
    <x v="303"/>
    <n v="10"/>
    <n v="244029.06"/>
    <n v="120375.82"/>
    <n v="123653.24"/>
    <n v="50.67"/>
    <x v="0"/>
    <x v="5"/>
    <s v="No"/>
  </r>
  <r>
    <s v="ORD-10305"/>
    <x v="246"/>
    <x v="3"/>
    <s v="Ahmedabad"/>
    <x v="10"/>
    <x v="2"/>
    <x v="21"/>
    <n v="42"/>
    <n v="1658.05"/>
    <x v="304"/>
    <n v="15"/>
    <n v="59192.39"/>
    <n v="27430.77"/>
    <n v="31761.62"/>
    <n v="53.66"/>
    <x v="4"/>
    <x v="0"/>
    <s v="No"/>
  </r>
  <r>
    <s v="ORD-10306"/>
    <x v="247"/>
    <x v="0"/>
    <s v="Agra"/>
    <x v="14"/>
    <x v="1"/>
    <x v="10"/>
    <n v="46"/>
    <n v="2403.88"/>
    <x v="305"/>
    <n v="5"/>
    <n v="105049.56"/>
    <n v="66617.7"/>
    <n v="38431.86"/>
    <n v="36.58"/>
    <x v="1"/>
    <x v="3"/>
    <s v="No"/>
  </r>
  <r>
    <s v="ORD-10307"/>
    <x v="87"/>
    <x v="2"/>
    <s v="Chennai"/>
    <x v="9"/>
    <x v="1"/>
    <x v="32"/>
    <n v="4"/>
    <n v="4151.63"/>
    <x v="306"/>
    <n v="25"/>
    <n v="12454.89"/>
    <n v="5725.92"/>
    <n v="6728.97"/>
    <n v="54.03"/>
    <x v="4"/>
    <x v="0"/>
    <s v="No"/>
  </r>
  <r>
    <s v="ORD-10308"/>
    <x v="248"/>
    <x v="0"/>
    <s v="Delhi"/>
    <x v="9"/>
    <x v="1"/>
    <x v="46"/>
    <n v="39"/>
    <n v="2145.94"/>
    <x v="307"/>
    <n v="15"/>
    <n v="71137.91"/>
    <n v="40979.99"/>
    <n v="30157.919999999998"/>
    <n v="42.39"/>
    <x v="2"/>
    <x v="5"/>
    <s v="No"/>
  </r>
  <r>
    <s v="ORD-10309"/>
    <x v="135"/>
    <x v="1"/>
    <s v="Kolkata"/>
    <x v="13"/>
    <x v="2"/>
    <x v="42"/>
    <n v="4"/>
    <n v="2736.59"/>
    <x v="308"/>
    <n v="20"/>
    <n v="8757.09"/>
    <n v="5551.55"/>
    <n v="3205.54"/>
    <n v="36.61"/>
    <x v="3"/>
    <x v="4"/>
    <s v="No"/>
  </r>
  <r>
    <s v="ORD-10310"/>
    <x v="249"/>
    <x v="2"/>
    <s v="Hyderabad"/>
    <x v="1"/>
    <x v="0"/>
    <x v="25"/>
    <n v="2"/>
    <n v="1048.3900000000001"/>
    <x v="309"/>
    <n v="25"/>
    <n v="1572.59"/>
    <n v="633.23"/>
    <n v="939.36"/>
    <n v="59.73"/>
    <x v="3"/>
    <x v="0"/>
    <s v="No"/>
  </r>
  <r>
    <s v="ORD-10311"/>
    <x v="250"/>
    <x v="2"/>
    <s v="Hyderabad"/>
    <x v="5"/>
    <x v="5"/>
    <x v="40"/>
    <n v="46"/>
    <n v="5213.37"/>
    <x v="310"/>
    <n v="15"/>
    <n v="203842.77"/>
    <n v="136298.43"/>
    <n v="67544.34"/>
    <n v="33.14"/>
    <x v="4"/>
    <x v="2"/>
    <s v="No"/>
  </r>
  <r>
    <s v="ORD-10312"/>
    <x v="251"/>
    <x v="1"/>
    <s v="Ranchi"/>
    <x v="10"/>
    <x v="5"/>
    <x v="38"/>
    <n v="7"/>
    <n v="257.31"/>
    <x v="311"/>
    <n v="25"/>
    <n v="1350.88"/>
    <n v="932.03"/>
    <n v="418.85"/>
    <n v="31.01"/>
    <x v="1"/>
    <x v="4"/>
    <s v="No"/>
  </r>
  <r>
    <s v="ORD-10313"/>
    <x v="252"/>
    <x v="1"/>
    <s v="Patna"/>
    <x v="9"/>
    <x v="0"/>
    <x v="16"/>
    <n v="5"/>
    <n v="456.64"/>
    <x v="312"/>
    <n v="10"/>
    <n v="2054.88"/>
    <n v="1216.8599999999999"/>
    <n v="838.02"/>
    <n v="40.78"/>
    <x v="2"/>
    <x v="4"/>
    <s v="No"/>
  </r>
  <r>
    <s v="ORD-10314"/>
    <x v="253"/>
    <x v="1"/>
    <s v="Bhubaneswar"/>
    <x v="4"/>
    <x v="1"/>
    <x v="1"/>
    <n v="4"/>
    <n v="3673.08"/>
    <x v="313"/>
    <n v="20"/>
    <n v="11753.86"/>
    <n v="6126.46"/>
    <n v="5627.4"/>
    <n v="47.88"/>
    <x v="3"/>
    <x v="4"/>
    <s v="Yes"/>
  </r>
  <r>
    <s v="ORD-10315"/>
    <x v="238"/>
    <x v="3"/>
    <s v="Ahmedabad"/>
    <x v="13"/>
    <x v="2"/>
    <x v="21"/>
    <n v="25"/>
    <n v="11143.13"/>
    <x v="314"/>
    <n v="20"/>
    <n v="222862.6"/>
    <n v="136485.67000000001"/>
    <n v="86376.93"/>
    <n v="38.76"/>
    <x v="3"/>
    <x v="2"/>
    <s v="No"/>
  </r>
  <r>
    <s v="ORD-10316"/>
    <x v="220"/>
    <x v="2"/>
    <s v="Coimbatore"/>
    <x v="4"/>
    <x v="0"/>
    <x v="3"/>
    <n v="43"/>
    <n v="481.52"/>
    <x v="315"/>
    <n v="10"/>
    <n v="18634.82"/>
    <n v="12180.2"/>
    <n v="6454.62"/>
    <n v="34.64"/>
    <x v="1"/>
    <x v="5"/>
    <s v="No"/>
  </r>
  <r>
    <s v="ORD-10317"/>
    <x v="36"/>
    <x v="3"/>
    <s v="Pune"/>
    <x v="5"/>
    <x v="0"/>
    <x v="0"/>
    <n v="36"/>
    <n v="934.47"/>
    <x v="316"/>
    <n v="5"/>
    <n v="31958.87"/>
    <n v="21862.33"/>
    <n v="10096.540000000001"/>
    <n v="31.59"/>
    <x v="0"/>
    <x v="5"/>
    <s v="No"/>
  </r>
  <r>
    <s v="ORD-10318"/>
    <x v="254"/>
    <x v="1"/>
    <s v="Guwahati"/>
    <x v="14"/>
    <x v="2"/>
    <x v="5"/>
    <n v="38"/>
    <n v="4657.8500000000004"/>
    <x v="317"/>
    <n v="0"/>
    <n v="176998.3"/>
    <n v="95784.57"/>
    <n v="81213.73"/>
    <n v="45.88"/>
    <x v="1"/>
    <x v="0"/>
    <s v="No"/>
  </r>
  <r>
    <s v="ORD-10319"/>
    <x v="255"/>
    <x v="0"/>
    <s v="Lucknow"/>
    <x v="6"/>
    <x v="1"/>
    <x v="10"/>
    <n v="44"/>
    <n v="1872.09"/>
    <x v="318"/>
    <n v="10"/>
    <n v="74134.759999999995"/>
    <n v="38841.589999999997"/>
    <n v="35293.17"/>
    <n v="47.61"/>
    <x v="3"/>
    <x v="5"/>
    <s v="No"/>
  </r>
  <r>
    <s v="ORD-10320"/>
    <x v="256"/>
    <x v="3"/>
    <s v="Pune"/>
    <x v="3"/>
    <x v="2"/>
    <x v="28"/>
    <n v="6"/>
    <n v="7493.06"/>
    <x v="319"/>
    <n v="25"/>
    <n v="33718.769999999997"/>
    <n v="23468"/>
    <n v="10250.77"/>
    <n v="30.4"/>
    <x v="0"/>
    <x v="3"/>
    <s v="No"/>
  </r>
  <r>
    <s v="ORD-10321"/>
    <x v="257"/>
    <x v="2"/>
    <s v="Bangalore"/>
    <x v="9"/>
    <x v="5"/>
    <x v="12"/>
    <n v="49"/>
    <n v="6282.07"/>
    <x v="320"/>
    <n v="5"/>
    <n v="292430.36"/>
    <n v="170879.9"/>
    <n v="121550.46"/>
    <n v="41.57"/>
    <x v="4"/>
    <x v="1"/>
    <s v="No"/>
  </r>
  <r>
    <s v="ORD-10322"/>
    <x v="102"/>
    <x v="3"/>
    <s v="Surat"/>
    <x v="1"/>
    <x v="4"/>
    <x v="14"/>
    <n v="13"/>
    <n v="44055.02"/>
    <x v="321"/>
    <n v="0"/>
    <n v="572715.26"/>
    <n v="382345.81"/>
    <n v="190369.45"/>
    <n v="33.24"/>
    <x v="3"/>
    <x v="3"/>
    <s v="No"/>
  </r>
  <r>
    <s v="ORD-10323"/>
    <x v="258"/>
    <x v="2"/>
    <s v="Bangalore"/>
    <x v="14"/>
    <x v="0"/>
    <x v="37"/>
    <n v="9"/>
    <n v="195.03"/>
    <x v="322"/>
    <n v="20"/>
    <n v="1404.22"/>
    <n v="809.67"/>
    <n v="594.54999999999995"/>
    <n v="42.34"/>
    <x v="0"/>
    <x v="3"/>
    <s v="No"/>
  </r>
  <r>
    <s v="ORD-10324"/>
    <x v="193"/>
    <x v="1"/>
    <s v="Guwahati"/>
    <x v="13"/>
    <x v="0"/>
    <x v="37"/>
    <n v="44"/>
    <n v="1194.93"/>
    <x v="323"/>
    <n v="10"/>
    <n v="47319.23"/>
    <n v="33068.65"/>
    <n v="14250.58"/>
    <n v="30.12"/>
    <x v="2"/>
    <x v="5"/>
    <s v="No"/>
  </r>
  <r>
    <s v="ORD-10325"/>
    <x v="259"/>
    <x v="3"/>
    <s v="Mumbai"/>
    <x v="5"/>
    <x v="1"/>
    <x v="1"/>
    <n v="9"/>
    <n v="1147.56"/>
    <x v="324"/>
    <n v="0"/>
    <n v="10328.040000000001"/>
    <n v="5958.33"/>
    <n v="4369.71"/>
    <n v="42.31"/>
    <x v="0"/>
    <x v="2"/>
    <s v="No"/>
  </r>
  <r>
    <s v="ORD-10326"/>
    <x v="260"/>
    <x v="0"/>
    <s v="Lucknow"/>
    <x v="3"/>
    <x v="0"/>
    <x v="0"/>
    <n v="35"/>
    <n v="777.91"/>
    <x v="325"/>
    <n v="20"/>
    <n v="21781.48"/>
    <n v="15212.27"/>
    <n v="6569.21"/>
    <n v="30.16"/>
    <x v="0"/>
    <x v="4"/>
    <s v="No"/>
  </r>
  <r>
    <s v="ORD-10327"/>
    <x v="192"/>
    <x v="0"/>
    <s v="Delhi"/>
    <x v="13"/>
    <x v="3"/>
    <x v="18"/>
    <n v="8"/>
    <n v="1436.11"/>
    <x v="326"/>
    <n v="15"/>
    <n v="9765.5499999999993"/>
    <n v="5962.46"/>
    <n v="3803.09"/>
    <n v="38.94"/>
    <x v="0"/>
    <x v="2"/>
    <s v="No"/>
  </r>
  <r>
    <s v="ORD-10328"/>
    <x v="95"/>
    <x v="0"/>
    <s v="Agra"/>
    <x v="13"/>
    <x v="2"/>
    <x v="28"/>
    <n v="7"/>
    <n v="7844.72"/>
    <x v="327"/>
    <n v="20"/>
    <n v="43930.43"/>
    <n v="19123.810000000001"/>
    <n v="24806.62"/>
    <n v="56.47"/>
    <x v="0"/>
    <x v="1"/>
    <s v="No"/>
  </r>
  <r>
    <s v="ORD-10329"/>
    <x v="234"/>
    <x v="2"/>
    <s v="Hyderabad"/>
    <x v="2"/>
    <x v="5"/>
    <x v="22"/>
    <n v="46"/>
    <n v="3396.1"/>
    <x v="328"/>
    <n v="5"/>
    <n v="148409.57"/>
    <n v="61118.28"/>
    <n v="87291.29"/>
    <n v="58.82"/>
    <x v="3"/>
    <x v="4"/>
    <s v="No"/>
  </r>
  <r>
    <s v="ORD-10330"/>
    <x v="261"/>
    <x v="1"/>
    <s v="Bhubaneswar"/>
    <x v="11"/>
    <x v="4"/>
    <x v="14"/>
    <n v="6"/>
    <n v="54487.3"/>
    <x v="329"/>
    <n v="20"/>
    <n v="261539.04"/>
    <n v="157108.22"/>
    <n v="104430.82"/>
    <n v="39.93"/>
    <x v="0"/>
    <x v="0"/>
    <s v="No"/>
  </r>
  <r>
    <s v="ORD-10331"/>
    <x v="226"/>
    <x v="0"/>
    <s v="Jaipur"/>
    <x v="9"/>
    <x v="0"/>
    <x v="4"/>
    <n v="19"/>
    <n v="375.82"/>
    <x v="330"/>
    <n v="0"/>
    <n v="7140.58"/>
    <n v="3070.04"/>
    <n v="4070.54"/>
    <n v="57.01"/>
    <x v="0"/>
    <x v="2"/>
    <s v="No"/>
  </r>
  <r>
    <s v="ORD-10332"/>
    <x v="262"/>
    <x v="1"/>
    <s v="Guwahati"/>
    <x v="12"/>
    <x v="0"/>
    <x v="16"/>
    <n v="49"/>
    <n v="1077.1300000000001"/>
    <x v="331"/>
    <n v="0"/>
    <n v="52779.37"/>
    <n v="34602.129999999997"/>
    <n v="18177.240000000002"/>
    <n v="34.44"/>
    <x v="3"/>
    <x v="2"/>
    <s v="No"/>
  </r>
  <r>
    <s v="ORD-10333"/>
    <x v="263"/>
    <x v="3"/>
    <s v="Nagpur"/>
    <x v="2"/>
    <x v="2"/>
    <x v="35"/>
    <n v="22"/>
    <n v="3029.04"/>
    <x v="332"/>
    <n v="15"/>
    <n v="56643.05"/>
    <n v="29458.639999999999"/>
    <n v="27184.41"/>
    <n v="47.99"/>
    <x v="2"/>
    <x v="1"/>
    <s v="No"/>
  </r>
  <r>
    <s v="ORD-10334"/>
    <x v="264"/>
    <x v="3"/>
    <s v="Surat"/>
    <x v="12"/>
    <x v="0"/>
    <x v="27"/>
    <n v="9"/>
    <n v="859.71"/>
    <x v="333"/>
    <n v="0"/>
    <n v="7737.39"/>
    <n v="5373.39"/>
    <n v="2364"/>
    <n v="30.55"/>
    <x v="0"/>
    <x v="1"/>
    <s v="No"/>
  </r>
  <r>
    <s v="ORD-10335"/>
    <x v="265"/>
    <x v="3"/>
    <s v="Nagpur"/>
    <x v="8"/>
    <x v="0"/>
    <x v="3"/>
    <n v="40"/>
    <n v="505.32"/>
    <x v="334"/>
    <n v="10"/>
    <n v="18191.52"/>
    <n v="10613.07"/>
    <n v="7578.45"/>
    <n v="41.66"/>
    <x v="3"/>
    <x v="1"/>
    <s v="No"/>
  </r>
  <r>
    <s v="ORD-10336"/>
    <x v="266"/>
    <x v="0"/>
    <s v="Lucknow"/>
    <x v="12"/>
    <x v="3"/>
    <x v="45"/>
    <n v="17"/>
    <n v="1689.19"/>
    <x v="335"/>
    <n v="0"/>
    <n v="28716.23"/>
    <n v="17556.25"/>
    <n v="11159.98"/>
    <n v="38.86"/>
    <x v="1"/>
    <x v="4"/>
    <s v="No"/>
  </r>
  <r>
    <s v="ORD-10337"/>
    <x v="267"/>
    <x v="2"/>
    <s v="Hyderabad"/>
    <x v="13"/>
    <x v="5"/>
    <x v="30"/>
    <n v="43"/>
    <n v="5867.89"/>
    <x v="336"/>
    <n v="15"/>
    <n v="214471.38"/>
    <n v="108034.56"/>
    <n v="106436.82"/>
    <n v="49.63"/>
    <x v="4"/>
    <x v="5"/>
    <s v="No"/>
  </r>
  <r>
    <s v="ORD-10338"/>
    <x v="245"/>
    <x v="0"/>
    <s v="Delhi"/>
    <x v="1"/>
    <x v="0"/>
    <x v="27"/>
    <n v="31"/>
    <n v="1034.0999999999999"/>
    <x v="337"/>
    <n v="5"/>
    <n v="30454.240000000002"/>
    <n v="12865.69"/>
    <n v="17588.55"/>
    <n v="57.75"/>
    <x v="2"/>
    <x v="5"/>
    <s v="No"/>
  </r>
  <r>
    <s v="ORD-10339"/>
    <x v="78"/>
    <x v="1"/>
    <s v="Kolkata"/>
    <x v="1"/>
    <x v="5"/>
    <x v="22"/>
    <n v="42"/>
    <n v="3153.37"/>
    <x v="338"/>
    <n v="5"/>
    <n v="125819.46"/>
    <n v="53303.31"/>
    <n v="72516.149999999994"/>
    <n v="57.64"/>
    <x v="1"/>
    <x v="1"/>
    <s v="No"/>
  </r>
  <r>
    <s v="ORD-10340"/>
    <x v="77"/>
    <x v="3"/>
    <s v="Surat"/>
    <x v="9"/>
    <x v="2"/>
    <x v="35"/>
    <n v="48"/>
    <n v="9921.91"/>
    <x v="339"/>
    <n v="0"/>
    <n v="476251.68"/>
    <n v="248142.32"/>
    <n v="228109.36"/>
    <n v="47.9"/>
    <x v="1"/>
    <x v="0"/>
    <s v="Yes"/>
  </r>
  <r>
    <s v="ORD-10341"/>
    <x v="268"/>
    <x v="0"/>
    <s v="Agra"/>
    <x v="4"/>
    <x v="5"/>
    <x v="40"/>
    <n v="33"/>
    <n v="4586.1899999999996"/>
    <x v="340"/>
    <n v="25"/>
    <n v="113508.2"/>
    <n v="68268.63"/>
    <n v="45239.57"/>
    <n v="39.86"/>
    <x v="2"/>
    <x v="3"/>
    <s v="No"/>
  </r>
  <r>
    <s v="ORD-10342"/>
    <x v="15"/>
    <x v="3"/>
    <s v="Ahmedabad"/>
    <x v="5"/>
    <x v="5"/>
    <x v="15"/>
    <n v="43"/>
    <n v="3033.7"/>
    <x v="341"/>
    <n v="15"/>
    <n v="110881.74"/>
    <n v="48145.63"/>
    <n v="62736.11"/>
    <n v="56.58"/>
    <x v="3"/>
    <x v="3"/>
    <s v="No"/>
  </r>
  <r>
    <s v="ORD-10343"/>
    <x v="269"/>
    <x v="1"/>
    <s v="Ranchi"/>
    <x v="5"/>
    <x v="5"/>
    <x v="36"/>
    <n v="7"/>
    <n v="557.07000000000005"/>
    <x v="342"/>
    <n v="5"/>
    <n v="3704.52"/>
    <n v="2029.06"/>
    <n v="1675.46"/>
    <n v="45.23"/>
    <x v="0"/>
    <x v="2"/>
    <s v="No"/>
  </r>
  <r>
    <s v="ORD-10344"/>
    <x v="270"/>
    <x v="2"/>
    <s v="Chennai"/>
    <x v="9"/>
    <x v="3"/>
    <x v="17"/>
    <n v="13"/>
    <n v="1834.45"/>
    <x v="343"/>
    <n v="0"/>
    <n v="23847.85"/>
    <n v="14956.06"/>
    <n v="8891.7900000000009"/>
    <n v="37.29"/>
    <x v="1"/>
    <x v="3"/>
    <s v="No"/>
  </r>
  <r>
    <s v="ORD-10345"/>
    <x v="271"/>
    <x v="3"/>
    <s v="Surat"/>
    <x v="9"/>
    <x v="0"/>
    <x v="27"/>
    <n v="1"/>
    <n v="674.01"/>
    <x v="344"/>
    <n v="0"/>
    <n v="674.01"/>
    <n v="381.47"/>
    <n v="292.54000000000002"/>
    <n v="43.4"/>
    <x v="1"/>
    <x v="1"/>
    <s v="No"/>
  </r>
  <r>
    <s v="ORD-10346"/>
    <x v="272"/>
    <x v="2"/>
    <s v="Coimbatore"/>
    <x v="12"/>
    <x v="1"/>
    <x v="9"/>
    <n v="25"/>
    <n v="3044.47"/>
    <x v="345"/>
    <n v="20"/>
    <n v="60889.4"/>
    <n v="40479.81"/>
    <n v="20409.59"/>
    <n v="33.520000000000003"/>
    <x v="4"/>
    <x v="1"/>
    <s v="No"/>
  </r>
  <r>
    <s v="ORD-10347"/>
    <x v="82"/>
    <x v="2"/>
    <s v="Hyderabad"/>
    <x v="14"/>
    <x v="3"/>
    <x v="13"/>
    <n v="29"/>
    <n v="2041.27"/>
    <x v="346"/>
    <n v="5"/>
    <n v="56236.99"/>
    <n v="29458.26"/>
    <n v="26778.73"/>
    <n v="47.62"/>
    <x v="1"/>
    <x v="2"/>
    <s v="No"/>
  </r>
  <r>
    <s v="ORD-10348"/>
    <x v="273"/>
    <x v="1"/>
    <s v="Ranchi"/>
    <x v="0"/>
    <x v="0"/>
    <x v="4"/>
    <n v="14"/>
    <n v="779.07"/>
    <x v="347"/>
    <n v="10"/>
    <n v="9816.2800000000007"/>
    <n v="5948.5"/>
    <n v="3867.78"/>
    <n v="39.4"/>
    <x v="3"/>
    <x v="4"/>
    <s v="No"/>
  </r>
  <r>
    <s v="ORD-10349"/>
    <x v="242"/>
    <x v="2"/>
    <s v="Coimbatore"/>
    <x v="5"/>
    <x v="5"/>
    <x v="36"/>
    <n v="8"/>
    <n v="6134.05"/>
    <x v="348"/>
    <n v="20"/>
    <n v="39257.919999999998"/>
    <n v="21360.67"/>
    <n v="17897.25"/>
    <n v="45.59"/>
    <x v="4"/>
    <x v="4"/>
    <s v="No"/>
  </r>
  <r>
    <s v="ORD-10350"/>
    <x v="274"/>
    <x v="1"/>
    <s v="Guwahati"/>
    <x v="7"/>
    <x v="4"/>
    <x v="26"/>
    <n v="25"/>
    <n v="9403.34"/>
    <x v="349"/>
    <n v="25"/>
    <n v="176312.62"/>
    <n v="73519.09"/>
    <n v="102793.53"/>
    <n v="58.3"/>
    <x v="3"/>
    <x v="2"/>
    <s v="No"/>
  </r>
  <r>
    <s v="ORD-10351"/>
    <x v="275"/>
    <x v="2"/>
    <s v="Chennai"/>
    <x v="0"/>
    <x v="0"/>
    <x v="0"/>
    <n v="49"/>
    <n v="686.11"/>
    <x v="350"/>
    <n v="10"/>
    <n v="30257.45"/>
    <n v="19492.09"/>
    <n v="10765.36"/>
    <n v="35.58"/>
    <x v="1"/>
    <x v="4"/>
    <s v="No"/>
  </r>
  <r>
    <s v="ORD-10352"/>
    <x v="276"/>
    <x v="2"/>
    <s v="Coimbatore"/>
    <x v="1"/>
    <x v="3"/>
    <x v="17"/>
    <n v="45"/>
    <n v="825.95"/>
    <x v="351"/>
    <n v="25"/>
    <n v="27875.81"/>
    <n v="11543.2"/>
    <n v="16332.61"/>
    <n v="58.59"/>
    <x v="4"/>
    <x v="1"/>
    <s v="No"/>
  </r>
  <r>
    <s v="ORD-10353"/>
    <x v="257"/>
    <x v="1"/>
    <s v="Ranchi"/>
    <x v="5"/>
    <x v="4"/>
    <x v="14"/>
    <n v="17"/>
    <n v="12822.76"/>
    <x v="352"/>
    <n v="15"/>
    <n v="185288.88"/>
    <n v="120251.56"/>
    <n v="65037.32"/>
    <n v="35.1"/>
    <x v="2"/>
    <x v="0"/>
    <s v="No"/>
  </r>
  <r>
    <s v="ORD-10354"/>
    <x v="277"/>
    <x v="2"/>
    <s v="Bangalore"/>
    <x v="8"/>
    <x v="2"/>
    <x v="11"/>
    <n v="44"/>
    <n v="1440.97"/>
    <x v="353"/>
    <n v="5"/>
    <n v="60232.55"/>
    <n v="37375.730000000003"/>
    <n v="22856.82"/>
    <n v="37.950000000000003"/>
    <x v="4"/>
    <x v="3"/>
    <s v="No"/>
  </r>
  <r>
    <s v="ORD-10355"/>
    <x v="278"/>
    <x v="1"/>
    <s v="Bhubaneswar"/>
    <x v="7"/>
    <x v="1"/>
    <x v="8"/>
    <n v="22"/>
    <n v="2231.91"/>
    <x v="354"/>
    <n v="5"/>
    <n v="46646.92"/>
    <n v="19217.7"/>
    <n v="27429.22"/>
    <n v="58.8"/>
    <x v="1"/>
    <x v="3"/>
    <s v="No"/>
  </r>
  <r>
    <s v="ORD-10356"/>
    <x v="279"/>
    <x v="1"/>
    <s v="Guwahati"/>
    <x v="12"/>
    <x v="5"/>
    <x v="36"/>
    <n v="46"/>
    <n v="2679.3"/>
    <x v="355"/>
    <n v="5"/>
    <n v="117085.41"/>
    <n v="80448.95"/>
    <n v="36636.46"/>
    <n v="31.29"/>
    <x v="0"/>
    <x v="0"/>
    <s v="No"/>
  </r>
  <r>
    <s v="ORD-10357"/>
    <x v="199"/>
    <x v="3"/>
    <s v="Mumbai"/>
    <x v="4"/>
    <x v="2"/>
    <x v="24"/>
    <n v="14"/>
    <n v="10067.85"/>
    <x v="356"/>
    <n v="10"/>
    <n v="126854.91"/>
    <n v="64472.66"/>
    <n v="62382.25"/>
    <n v="49.18"/>
    <x v="1"/>
    <x v="0"/>
    <s v="No"/>
  </r>
  <r>
    <s v="ORD-10358"/>
    <x v="280"/>
    <x v="0"/>
    <s v="Delhi"/>
    <x v="9"/>
    <x v="0"/>
    <x v="37"/>
    <n v="16"/>
    <n v="1093.04"/>
    <x v="357"/>
    <n v="20"/>
    <n v="13990.91"/>
    <n v="9452.01"/>
    <n v="4538.8999999999996"/>
    <n v="32.44"/>
    <x v="0"/>
    <x v="4"/>
    <s v="No"/>
  </r>
  <r>
    <s v="ORD-10359"/>
    <x v="251"/>
    <x v="3"/>
    <s v="Mumbai"/>
    <x v="1"/>
    <x v="3"/>
    <x v="6"/>
    <n v="47"/>
    <n v="814.65"/>
    <x v="358"/>
    <n v="20"/>
    <n v="30630.84"/>
    <n v="19806.900000000001"/>
    <n v="10823.94"/>
    <n v="35.340000000000003"/>
    <x v="1"/>
    <x v="0"/>
    <s v="No"/>
  </r>
  <r>
    <s v="ORD-10360"/>
    <x v="281"/>
    <x v="0"/>
    <s v="Jaipur"/>
    <x v="2"/>
    <x v="0"/>
    <x v="4"/>
    <n v="33"/>
    <n v="172.23"/>
    <x v="359"/>
    <n v="0"/>
    <n v="5683.59"/>
    <n v="2558.86"/>
    <n v="3124.73"/>
    <n v="54.98"/>
    <x v="1"/>
    <x v="3"/>
    <s v="No"/>
  </r>
  <r>
    <s v="ORD-10361"/>
    <x v="132"/>
    <x v="2"/>
    <s v="Bangalore"/>
    <x v="6"/>
    <x v="0"/>
    <x v="25"/>
    <n v="7"/>
    <n v="310.25"/>
    <x v="360"/>
    <n v="25"/>
    <n v="1628.81"/>
    <n v="1080.8599999999999"/>
    <n v="547.95000000000005"/>
    <n v="33.64"/>
    <x v="0"/>
    <x v="4"/>
    <s v="No"/>
  </r>
  <r>
    <s v="ORD-10362"/>
    <x v="282"/>
    <x v="0"/>
    <s v="Lucknow"/>
    <x v="7"/>
    <x v="0"/>
    <x v="37"/>
    <n v="6"/>
    <n v="162.04"/>
    <x v="361"/>
    <n v="5"/>
    <n v="923.63"/>
    <n v="589.52"/>
    <n v="334.11"/>
    <n v="36.17"/>
    <x v="0"/>
    <x v="0"/>
    <s v="No"/>
  </r>
  <r>
    <s v="ORD-10363"/>
    <x v="283"/>
    <x v="1"/>
    <s v="Guwahati"/>
    <x v="11"/>
    <x v="3"/>
    <x v="18"/>
    <n v="26"/>
    <n v="1167.6099999999999"/>
    <x v="362"/>
    <n v="0"/>
    <n v="30357.86"/>
    <n v="15690.48"/>
    <n v="14667.38"/>
    <n v="48.31"/>
    <x v="1"/>
    <x v="3"/>
    <s v="No"/>
  </r>
  <r>
    <s v="ORD-10364"/>
    <x v="284"/>
    <x v="0"/>
    <s v="Agra"/>
    <x v="2"/>
    <x v="4"/>
    <x v="26"/>
    <n v="33"/>
    <n v="7083.22"/>
    <x v="363"/>
    <n v="25"/>
    <n v="175309.7"/>
    <n v="85972.79"/>
    <n v="89336.91"/>
    <n v="50.96"/>
    <x v="2"/>
    <x v="1"/>
    <s v="No"/>
  </r>
  <r>
    <s v="ORD-10365"/>
    <x v="254"/>
    <x v="0"/>
    <s v="Lucknow"/>
    <x v="8"/>
    <x v="1"/>
    <x v="1"/>
    <n v="48"/>
    <n v="1911.72"/>
    <x v="364"/>
    <n v="20"/>
    <n v="73410.05"/>
    <n v="35860.339999999997"/>
    <n v="37549.71"/>
    <n v="51.15"/>
    <x v="3"/>
    <x v="2"/>
    <s v="No"/>
  </r>
  <r>
    <s v="ORD-10366"/>
    <x v="285"/>
    <x v="1"/>
    <s v="Kolkata"/>
    <x v="12"/>
    <x v="5"/>
    <x v="12"/>
    <n v="3"/>
    <n v="239.23"/>
    <x v="365"/>
    <n v="20"/>
    <n v="574.15"/>
    <n v="297.54000000000002"/>
    <n v="276.61"/>
    <n v="48.18"/>
    <x v="0"/>
    <x v="2"/>
    <s v="No"/>
  </r>
  <r>
    <s v="ORD-10367"/>
    <x v="286"/>
    <x v="1"/>
    <s v="Bhubaneswar"/>
    <x v="8"/>
    <x v="3"/>
    <x v="19"/>
    <n v="12"/>
    <n v="668.85"/>
    <x v="366"/>
    <n v="10"/>
    <n v="7223.58"/>
    <n v="3310.55"/>
    <n v="3913.03"/>
    <n v="54.17"/>
    <x v="1"/>
    <x v="3"/>
    <s v="No"/>
  </r>
  <r>
    <s v="ORD-10368"/>
    <x v="287"/>
    <x v="3"/>
    <s v="Nagpur"/>
    <x v="11"/>
    <x v="4"/>
    <x v="29"/>
    <n v="5"/>
    <n v="15640.71"/>
    <x v="367"/>
    <n v="5"/>
    <n v="74293.37"/>
    <n v="45889.29"/>
    <n v="28404.080000000002"/>
    <n v="38.229999999999997"/>
    <x v="2"/>
    <x v="2"/>
    <s v="No"/>
  </r>
  <r>
    <s v="ORD-10369"/>
    <x v="288"/>
    <x v="2"/>
    <s v="Chennai"/>
    <x v="4"/>
    <x v="2"/>
    <x v="35"/>
    <n v="13"/>
    <n v="5005.5600000000004"/>
    <x v="368"/>
    <n v="15"/>
    <n v="55311.44"/>
    <n v="27572.959999999999"/>
    <n v="27738.48"/>
    <n v="50.15"/>
    <x v="2"/>
    <x v="4"/>
    <s v="No"/>
  </r>
  <r>
    <s v="ORD-10370"/>
    <x v="289"/>
    <x v="1"/>
    <s v="Patna"/>
    <x v="7"/>
    <x v="3"/>
    <x v="19"/>
    <n v="21"/>
    <n v="728.51"/>
    <x v="369"/>
    <n v="5"/>
    <n v="14533.77"/>
    <n v="8918.7900000000009"/>
    <n v="5614.98"/>
    <n v="38.630000000000003"/>
    <x v="4"/>
    <x v="2"/>
    <s v="No"/>
  </r>
  <r>
    <s v="ORD-10371"/>
    <x v="128"/>
    <x v="2"/>
    <s v="Hyderabad"/>
    <x v="9"/>
    <x v="3"/>
    <x v="18"/>
    <n v="23"/>
    <n v="1970.7"/>
    <x v="370"/>
    <n v="15"/>
    <n v="38527.18"/>
    <n v="21787.18"/>
    <n v="16740"/>
    <n v="43.45"/>
    <x v="1"/>
    <x v="3"/>
    <s v="No"/>
  </r>
  <r>
    <s v="ORD-10372"/>
    <x v="126"/>
    <x v="2"/>
    <s v="Coimbatore"/>
    <x v="5"/>
    <x v="1"/>
    <x v="8"/>
    <n v="41"/>
    <n v="574.97"/>
    <x v="371"/>
    <n v="0"/>
    <n v="23573.77"/>
    <n v="15738.59"/>
    <n v="7835.18"/>
    <n v="33.24"/>
    <x v="0"/>
    <x v="0"/>
    <s v="No"/>
  </r>
  <r>
    <s v="ORD-10373"/>
    <x v="290"/>
    <x v="2"/>
    <s v="Chennai"/>
    <x v="1"/>
    <x v="5"/>
    <x v="40"/>
    <n v="35"/>
    <n v="3882.41"/>
    <x v="372"/>
    <n v="5"/>
    <n v="129090.13"/>
    <n v="65803.12"/>
    <n v="63287.01"/>
    <n v="49.03"/>
    <x v="1"/>
    <x v="4"/>
    <s v="No"/>
  </r>
  <r>
    <s v="ORD-10374"/>
    <x v="183"/>
    <x v="2"/>
    <s v="Kochi"/>
    <x v="13"/>
    <x v="5"/>
    <x v="30"/>
    <n v="24"/>
    <n v="4116.8999999999996"/>
    <x v="373"/>
    <n v="25"/>
    <n v="74104.2"/>
    <n v="34952.300000000003"/>
    <n v="39151.9"/>
    <n v="52.83"/>
    <x v="3"/>
    <x v="0"/>
    <s v="No"/>
  </r>
  <r>
    <s v="ORD-10375"/>
    <x v="291"/>
    <x v="2"/>
    <s v="Bangalore"/>
    <x v="5"/>
    <x v="5"/>
    <x v="12"/>
    <n v="47"/>
    <n v="3971.33"/>
    <x v="374"/>
    <n v="10"/>
    <n v="167987.26"/>
    <n v="69231.91"/>
    <n v="98755.35"/>
    <n v="58.79"/>
    <x v="3"/>
    <x v="3"/>
    <s v="No"/>
  </r>
  <r>
    <s v="ORD-10376"/>
    <x v="292"/>
    <x v="2"/>
    <s v="Chennai"/>
    <x v="1"/>
    <x v="0"/>
    <x v="4"/>
    <n v="24"/>
    <n v="514.66"/>
    <x v="375"/>
    <n v="15"/>
    <n v="10499.06"/>
    <n v="6976.26"/>
    <n v="3522.8"/>
    <n v="33.549999999999997"/>
    <x v="2"/>
    <x v="3"/>
    <s v="No"/>
  </r>
  <r>
    <s v="ORD-10377"/>
    <x v="293"/>
    <x v="1"/>
    <s v="Patna"/>
    <x v="13"/>
    <x v="5"/>
    <x v="12"/>
    <n v="42"/>
    <n v="3152.44"/>
    <x v="376"/>
    <n v="20"/>
    <n v="105921.98"/>
    <n v="63129.599999999999"/>
    <n v="42792.38"/>
    <n v="40.4"/>
    <x v="1"/>
    <x v="2"/>
    <s v="No"/>
  </r>
  <r>
    <s v="ORD-10378"/>
    <x v="294"/>
    <x v="2"/>
    <s v="Coimbatore"/>
    <x v="6"/>
    <x v="3"/>
    <x v="13"/>
    <n v="23"/>
    <n v="1294.1199999999999"/>
    <x v="377"/>
    <n v="15"/>
    <n v="25300.05"/>
    <n v="16853.669999999998"/>
    <n v="8446.3799999999992"/>
    <n v="33.380000000000003"/>
    <x v="1"/>
    <x v="5"/>
    <s v="No"/>
  </r>
  <r>
    <s v="ORD-10379"/>
    <x v="283"/>
    <x v="2"/>
    <s v="Chennai"/>
    <x v="0"/>
    <x v="5"/>
    <x v="40"/>
    <n v="10"/>
    <n v="1657.86"/>
    <x v="378"/>
    <n v="10"/>
    <n v="14920.74"/>
    <n v="8663.07"/>
    <n v="6257.67"/>
    <n v="41.94"/>
    <x v="3"/>
    <x v="1"/>
    <s v="No"/>
  </r>
  <r>
    <s v="ORD-10380"/>
    <x v="295"/>
    <x v="0"/>
    <s v="Lucknow"/>
    <x v="9"/>
    <x v="0"/>
    <x v="3"/>
    <n v="14"/>
    <n v="741.69"/>
    <x v="379"/>
    <n v="25"/>
    <n v="7787.74"/>
    <n v="5062.1000000000004"/>
    <n v="2725.64"/>
    <n v="35"/>
    <x v="3"/>
    <x v="3"/>
    <s v="No"/>
  </r>
  <r>
    <s v="ORD-10381"/>
    <x v="296"/>
    <x v="2"/>
    <s v="Bangalore"/>
    <x v="4"/>
    <x v="0"/>
    <x v="23"/>
    <n v="37"/>
    <n v="244.49"/>
    <x v="380"/>
    <n v="5"/>
    <n v="8593.82"/>
    <n v="4103.3599999999997"/>
    <n v="4490.46"/>
    <n v="52.25"/>
    <x v="1"/>
    <x v="1"/>
    <s v="No"/>
  </r>
  <r>
    <s v="ORD-10382"/>
    <x v="297"/>
    <x v="0"/>
    <s v="Jaipur"/>
    <x v="9"/>
    <x v="4"/>
    <x v="7"/>
    <n v="39"/>
    <n v="59572.33"/>
    <x v="381"/>
    <n v="15"/>
    <n v="1974822.74"/>
    <n v="890980.85"/>
    <n v="1083841.8899999999"/>
    <n v="54.88"/>
    <x v="1"/>
    <x v="5"/>
    <s v="No"/>
  </r>
  <r>
    <s v="ORD-10383"/>
    <x v="298"/>
    <x v="2"/>
    <s v="Coimbatore"/>
    <x v="8"/>
    <x v="0"/>
    <x v="0"/>
    <n v="47"/>
    <n v="847.86"/>
    <x v="382"/>
    <n v="15"/>
    <n v="33872.01"/>
    <n v="19610.54"/>
    <n v="14261.47"/>
    <n v="42.1"/>
    <x v="3"/>
    <x v="1"/>
    <s v="No"/>
  </r>
  <r>
    <s v="ORD-10384"/>
    <x v="299"/>
    <x v="0"/>
    <s v="Delhi"/>
    <x v="6"/>
    <x v="1"/>
    <x v="2"/>
    <n v="10"/>
    <n v="2823.42"/>
    <x v="383"/>
    <n v="5"/>
    <n v="26822.49"/>
    <n v="14558.19"/>
    <n v="12264.3"/>
    <n v="45.72"/>
    <x v="1"/>
    <x v="3"/>
    <s v="No"/>
  </r>
  <r>
    <s v="ORD-10385"/>
    <x v="266"/>
    <x v="0"/>
    <s v="Delhi"/>
    <x v="4"/>
    <x v="3"/>
    <x v="19"/>
    <n v="39"/>
    <n v="1417.32"/>
    <x v="384"/>
    <n v="0"/>
    <n v="55275.48"/>
    <n v="36984.31"/>
    <n v="18291.169999999998"/>
    <n v="33.090000000000003"/>
    <x v="4"/>
    <x v="0"/>
    <s v="No"/>
  </r>
  <r>
    <s v="ORD-10386"/>
    <x v="300"/>
    <x v="0"/>
    <s v="Agra"/>
    <x v="3"/>
    <x v="3"/>
    <x v="17"/>
    <n v="31"/>
    <n v="2005.46"/>
    <x v="385"/>
    <n v="15"/>
    <n v="52843.87"/>
    <n v="26694.36"/>
    <n v="26149.51"/>
    <n v="49.48"/>
    <x v="1"/>
    <x v="3"/>
    <s v="No"/>
  </r>
  <r>
    <s v="ORD-10387"/>
    <x v="301"/>
    <x v="1"/>
    <s v="Guwahati"/>
    <x v="14"/>
    <x v="1"/>
    <x v="10"/>
    <n v="39"/>
    <n v="3976.26"/>
    <x v="386"/>
    <n v="15"/>
    <n v="131813.01999999999"/>
    <n v="62919.82"/>
    <n v="68893.2"/>
    <n v="52.27"/>
    <x v="0"/>
    <x v="0"/>
    <s v="No"/>
  </r>
  <r>
    <s v="ORD-10388"/>
    <x v="17"/>
    <x v="0"/>
    <s v="Lucknow"/>
    <x v="5"/>
    <x v="0"/>
    <x v="4"/>
    <n v="21"/>
    <n v="537.91"/>
    <x v="387"/>
    <n v="0"/>
    <n v="11296.11"/>
    <n v="5042.96"/>
    <n v="6253.15"/>
    <n v="55.36"/>
    <x v="1"/>
    <x v="2"/>
    <s v="No"/>
  </r>
  <r>
    <s v="ORD-10389"/>
    <x v="167"/>
    <x v="3"/>
    <s v="Nagpur"/>
    <x v="11"/>
    <x v="2"/>
    <x v="44"/>
    <n v="26"/>
    <n v="11410.34"/>
    <x v="388"/>
    <n v="15"/>
    <n v="252168.51"/>
    <n v="142634.45000000001"/>
    <n v="109534.06"/>
    <n v="43.44"/>
    <x v="4"/>
    <x v="5"/>
    <s v="No"/>
  </r>
  <r>
    <s v="ORD-10390"/>
    <x v="288"/>
    <x v="3"/>
    <s v="Ahmedabad"/>
    <x v="3"/>
    <x v="2"/>
    <x v="5"/>
    <n v="46"/>
    <n v="6182.6"/>
    <x v="389"/>
    <n v="5"/>
    <n v="270179.62"/>
    <n v="177372.83"/>
    <n v="92806.79"/>
    <n v="34.35"/>
    <x v="0"/>
    <x v="4"/>
    <s v="No"/>
  </r>
  <r>
    <s v="ORD-10391"/>
    <x v="302"/>
    <x v="2"/>
    <s v="Chennai"/>
    <x v="3"/>
    <x v="1"/>
    <x v="2"/>
    <n v="22"/>
    <n v="3653.63"/>
    <x v="390"/>
    <n v="20"/>
    <n v="64303.89"/>
    <n v="39168.61"/>
    <n v="25135.279999999999"/>
    <n v="39.090000000000003"/>
    <x v="0"/>
    <x v="5"/>
    <s v="No"/>
  </r>
  <r>
    <s v="ORD-10392"/>
    <x v="303"/>
    <x v="0"/>
    <s v="Delhi"/>
    <x v="4"/>
    <x v="1"/>
    <x v="34"/>
    <n v="39"/>
    <n v="2100.35"/>
    <x v="391"/>
    <n v="0"/>
    <n v="81913.649999999994"/>
    <n v="39230.71"/>
    <n v="42682.94"/>
    <n v="52.11"/>
    <x v="0"/>
    <x v="0"/>
    <s v="Yes"/>
  </r>
  <r>
    <s v="ORD-10393"/>
    <x v="304"/>
    <x v="3"/>
    <s v="Surat"/>
    <x v="5"/>
    <x v="5"/>
    <x v="40"/>
    <n v="39"/>
    <n v="648.21"/>
    <x v="392"/>
    <n v="5"/>
    <n v="24016.18"/>
    <n v="14219.68"/>
    <n v="9796.5"/>
    <n v="40.79"/>
    <x v="0"/>
    <x v="5"/>
    <s v="No"/>
  </r>
  <r>
    <s v="ORD-10394"/>
    <x v="207"/>
    <x v="1"/>
    <s v="Bhubaneswar"/>
    <x v="10"/>
    <x v="4"/>
    <x v="7"/>
    <n v="11"/>
    <n v="40702.239999999998"/>
    <x v="393"/>
    <n v="10"/>
    <n v="402952.18"/>
    <n v="190103.57"/>
    <n v="212848.61"/>
    <n v="52.82"/>
    <x v="3"/>
    <x v="3"/>
    <s v="No"/>
  </r>
  <r>
    <s v="ORD-10395"/>
    <x v="298"/>
    <x v="3"/>
    <s v="Ahmedabad"/>
    <x v="13"/>
    <x v="0"/>
    <x v="25"/>
    <n v="38"/>
    <n v="304.35000000000002"/>
    <x v="394"/>
    <n v="0"/>
    <n v="11565.3"/>
    <n v="7182.95"/>
    <n v="4382.3500000000004"/>
    <n v="37.89"/>
    <x v="0"/>
    <x v="0"/>
    <s v="No"/>
  </r>
  <r>
    <s v="ORD-10396"/>
    <x v="305"/>
    <x v="1"/>
    <s v="Patna"/>
    <x v="10"/>
    <x v="2"/>
    <x v="24"/>
    <n v="13"/>
    <n v="7012.22"/>
    <x v="395"/>
    <n v="15"/>
    <n v="77485.03"/>
    <n v="44358.01"/>
    <n v="33127.019999999997"/>
    <n v="42.75"/>
    <x v="3"/>
    <x v="1"/>
    <s v="No"/>
  </r>
  <r>
    <s v="ORD-10397"/>
    <x v="139"/>
    <x v="0"/>
    <s v="Agra"/>
    <x v="12"/>
    <x v="2"/>
    <x v="5"/>
    <n v="33"/>
    <n v="14365.79"/>
    <x v="396"/>
    <n v="20"/>
    <n v="379256.86"/>
    <n v="244220.26"/>
    <n v="135036.6"/>
    <n v="35.61"/>
    <x v="2"/>
    <x v="4"/>
    <s v="No"/>
  </r>
  <r>
    <s v="ORD-10398"/>
    <x v="306"/>
    <x v="3"/>
    <s v="Nagpur"/>
    <x v="3"/>
    <x v="3"/>
    <x v="17"/>
    <n v="22"/>
    <n v="2408.91"/>
    <x v="397"/>
    <n v="15"/>
    <n v="45046.62"/>
    <n v="27229.71"/>
    <n v="17816.91"/>
    <n v="39.549999999999997"/>
    <x v="0"/>
    <x v="1"/>
    <s v="No"/>
  </r>
  <r>
    <s v="ORD-10399"/>
    <x v="307"/>
    <x v="0"/>
    <s v="Lucknow"/>
    <x v="11"/>
    <x v="0"/>
    <x v="4"/>
    <n v="45"/>
    <n v="337.52"/>
    <x v="398"/>
    <n v="10"/>
    <n v="13669.56"/>
    <n v="7159.13"/>
    <n v="6510.43"/>
    <n v="47.63"/>
    <x v="1"/>
    <x v="0"/>
    <s v="Yes"/>
  </r>
  <r>
    <s v="ORD-10400"/>
    <x v="308"/>
    <x v="1"/>
    <s v="Bhubaneswar"/>
    <x v="13"/>
    <x v="2"/>
    <x v="35"/>
    <n v="44"/>
    <n v="11319.75"/>
    <x v="399"/>
    <n v="10"/>
    <n v="448262.1"/>
    <n v="189529.09"/>
    <n v="258733.01"/>
    <n v="57.72"/>
    <x v="4"/>
    <x v="2"/>
    <s v="No"/>
  </r>
  <r>
    <s v="ORD-10401"/>
    <x v="76"/>
    <x v="1"/>
    <s v="Bhubaneswar"/>
    <x v="9"/>
    <x v="0"/>
    <x v="4"/>
    <n v="48"/>
    <n v="303.63"/>
    <x v="400"/>
    <n v="25"/>
    <n v="10930.68"/>
    <n v="5166.0200000000004"/>
    <n v="5764.66"/>
    <n v="52.74"/>
    <x v="3"/>
    <x v="5"/>
    <s v="No"/>
  </r>
  <r>
    <s v="ORD-10402"/>
    <x v="262"/>
    <x v="2"/>
    <s v="Coimbatore"/>
    <x v="3"/>
    <x v="2"/>
    <x v="28"/>
    <n v="7"/>
    <n v="2106.2199999999998"/>
    <x v="401"/>
    <n v="0"/>
    <n v="14743.54"/>
    <n v="8886.57"/>
    <n v="5856.97"/>
    <n v="39.729999999999997"/>
    <x v="4"/>
    <x v="0"/>
    <s v="Yes"/>
  </r>
  <r>
    <s v="ORD-10403"/>
    <x v="309"/>
    <x v="0"/>
    <s v="Lucknow"/>
    <x v="9"/>
    <x v="2"/>
    <x v="5"/>
    <n v="37"/>
    <n v="13077.46"/>
    <x v="402"/>
    <n v="15"/>
    <n v="411286.12"/>
    <n v="187078.25"/>
    <n v="224207.87"/>
    <n v="54.51"/>
    <x v="2"/>
    <x v="1"/>
    <s v="No"/>
  </r>
  <r>
    <s v="ORD-10404"/>
    <x v="58"/>
    <x v="2"/>
    <s v="Chennai"/>
    <x v="9"/>
    <x v="5"/>
    <x v="38"/>
    <n v="35"/>
    <n v="453.99"/>
    <x v="403"/>
    <n v="10"/>
    <n v="14300.68"/>
    <n v="7409.4"/>
    <n v="6891.28"/>
    <n v="48.19"/>
    <x v="3"/>
    <x v="1"/>
    <s v="No"/>
  </r>
  <r>
    <s v="ORD-10405"/>
    <x v="49"/>
    <x v="3"/>
    <s v="Ahmedabad"/>
    <x v="7"/>
    <x v="0"/>
    <x v="23"/>
    <n v="44"/>
    <n v="316.04000000000002"/>
    <x v="404"/>
    <n v="20"/>
    <n v="11124.61"/>
    <n v="4786.08"/>
    <n v="6338.53"/>
    <n v="56.98"/>
    <x v="1"/>
    <x v="2"/>
    <s v="No"/>
  </r>
  <r>
    <s v="ORD-10406"/>
    <x v="235"/>
    <x v="1"/>
    <s v="Bhubaneswar"/>
    <x v="10"/>
    <x v="2"/>
    <x v="11"/>
    <n v="22"/>
    <n v="5710.79"/>
    <x v="405"/>
    <n v="15"/>
    <n v="106791.77"/>
    <n v="56298.79"/>
    <n v="50492.98"/>
    <n v="47.28"/>
    <x v="2"/>
    <x v="2"/>
    <s v="No"/>
  </r>
  <r>
    <s v="ORD-10407"/>
    <x v="91"/>
    <x v="1"/>
    <s v="Guwahati"/>
    <x v="10"/>
    <x v="1"/>
    <x v="9"/>
    <n v="44"/>
    <n v="1221.4100000000001"/>
    <x v="406"/>
    <n v="0"/>
    <n v="53742.04"/>
    <n v="33118.239999999998"/>
    <n v="20623.8"/>
    <n v="38.380000000000003"/>
    <x v="1"/>
    <x v="1"/>
    <s v="No"/>
  </r>
  <r>
    <s v="ORD-10408"/>
    <x v="177"/>
    <x v="2"/>
    <s v="Bangalore"/>
    <x v="9"/>
    <x v="0"/>
    <x v="27"/>
    <n v="1"/>
    <n v="277.8"/>
    <x v="407"/>
    <n v="15"/>
    <n v="236.13"/>
    <n v="103.98"/>
    <n v="132.15"/>
    <n v="55.96"/>
    <x v="1"/>
    <x v="0"/>
    <s v="No"/>
  </r>
  <r>
    <s v="ORD-10409"/>
    <x v="310"/>
    <x v="3"/>
    <s v="Ahmedabad"/>
    <x v="13"/>
    <x v="2"/>
    <x v="42"/>
    <n v="7"/>
    <n v="10466.459999999999"/>
    <x v="408"/>
    <n v="0"/>
    <n v="73265.22"/>
    <n v="34041.97"/>
    <n v="39223.25"/>
    <n v="53.54"/>
    <x v="4"/>
    <x v="4"/>
    <s v="No"/>
  </r>
  <r>
    <s v="ORD-10410"/>
    <x v="79"/>
    <x v="1"/>
    <s v="Patna"/>
    <x v="1"/>
    <x v="2"/>
    <x v="5"/>
    <n v="36"/>
    <n v="14001.52"/>
    <x v="409"/>
    <n v="10"/>
    <n v="453649.25"/>
    <n v="228295.39"/>
    <n v="225353.86"/>
    <n v="49.68"/>
    <x v="0"/>
    <x v="2"/>
    <s v="No"/>
  </r>
  <r>
    <s v="ORD-10411"/>
    <x v="311"/>
    <x v="2"/>
    <s v="Coimbatore"/>
    <x v="3"/>
    <x v="5"/>
    <x v="12"/>
    <n v="19"/>
    <n v="2969.85"/>
    <x v="410"/>
    <n v="25"/>
    <n v="42320.36"/>
    <n v="23408.799999999999"/>
    <n v="18911.560000000001"/>
    <n v="44.69"/>
    <x v="0"/>
    <x v="1"/>
    <s v="No"/>
  </r>
  <r>
    <s v="ORD-10412"/>
    <x v="312"/>
    <x v="3"/>
    <s v="Pune"/>
    <x v="13"/>
    <x v="1"/>
    <x v="46"/>
    <n v="41"/>
    <n v="2852.32"/>
    <x v="411"/>
    <n v="15"/>
    <n v="99403.35"/>
    <n v="65076.41"/>
    <n v="34326.94"/>
    <n v="34.53"/>
    <x v="0"/>
    <x v="5"/>
    <s v="No"/>
  </r>
  <r>
    <s v="ORD-10413"/>
    <x v="313"/>
    <x v="1"/>
    <s v="Patna"/>
    <x v="5"/>
    <x v="0"/>
    <x v="0"/>
    <n v="18"/>
    <n v="758.03"/>
    <x v="412"/>
    <n v="15"/>
    <n v="11597.86"/>
    <n v="5582.91"/>
    <n v="6014.95"/>
    <n v="51.86"/>
    <x v="2"/>
    <x v="4"/>
    <s v="No"/>
  </r>
  <r>
    <s v="ORD-10414"/>
    <x v="137"/>
    <x v="3"/>
    <s v="Surat"/>
    <x v="6"/>
    <x v="1"/>
    <x v="9"/>
    <n v="2"/>
    <n v="781.42"/>
    <x v="413"/>
    <n v="5"/>
    <n v="1484.7"/>
    <n v="888.75"/>
    <n v="595.95000000000005"/>
    <n v="40.14"/>
    <x v="0"/>
    <x v="5"/>
    <s v="No"/>
  </r>
  <r>
    <s v="ORD-10415"/>
    <x v="314"/>
    <x v="0"/>
    <s v="Delhi"/>
    <x v="1"/>
    <x v="4"/>
    <x v="39"/>
    <n v="4"/>
    <n v="2360.8000000000002"/>
    <x v="414"/>
    <n v="15"/>
    <n v="8026.72"/>
    <n v="4472.45"/>
    <n v="3554.27"/>
    <n v="44.28"/>
    <x v="0"/>
    <x v="2"/>
    <s v="No"/>
  </r>
  <r>
    <s v="ORD-10416"/>
    <x v="315"/>
    <x v="0"/>
    <s v="Lucknow"/>
    <x v="0"/>
    <x v="2"/>
    <x v="24"/>
    <n v="48"/>
    <n v="4513.17"/>
    <x v="415"/>
    <n v="25"/>
    <n v="162474.12"/>
    <n v="71151.240000000005"/>
    <n v="91322.880000000005"/>
    <n v="56.21"/>
    <x v="3"/>
    <x v="3"/>
    <s v="Yes"/>
  </r>
  <r>
    <s v="ORD-10417"/>
    <x v="316"/>
    <x v="1"/>
    <s v="Patna"/>
    <x v="6"/>
    <x v="3"/>
    <x v="18"/>
    <n v="35"/>
    <n v="2346.92"/>
    <x v="416"/>
    <n v="20"/>
    <n v="65713.759999999995"/>
    <n v="35055.230000000003"/>
    <n v="30658.53"/>
    <n v="46.65"/>
    <x v="1"/>
    <x v="5"/>
    <s v="No"/>
  </r>
  <r>
    <s v="ORD-10418"/>
    <x v="110"/>
    <x v="3"/>
    <s v="Nagpur"/>
    <x v="4"/>
    <x v="3"/>
    <x v="6"/>
    <n v="23"/>
    <n v="1281.8800000000001"/>
    <x v="417"/>
    <n v="5"/>
    <n v="28009.08"/>
    <n v="17965.37"/>
    <n v="10043.709999999999"/>
    <n v="35.86"/>
    <x v="2"/>
    <x v="2"/>
    <s v="No"/>
  </r>
  <r>
    <s v="ORD-10419"/>
    <x v="317"/>
    <x v="2"/>
    <s v="Hyderabad"/>
    <x v="1"/>
    <x v="4"/>
    <x v="14"/>
    <n v="49"/>
    <n v="50998.43"/>
    <x v="418"/>
    <n v="10"/>
    <n v="2249030.7599999998"/>
    <n v="1093093.44"/>
    <n v="1155937.32"/>
    <n v="51.4"/>
    <x v="0"/>
    <x v="4"/>
    <s v="No"/>
  </r>
  <r>
    <s v="ORD-10420"/>
    <x v="318"/>
    <x v="3"/>
    <s v="Ahmedabad"/>
    <x v="3"/>
    <x v="4"/>
    <x v="43"/>
    <n v="19"/>
    <n v="36142.620000000003"/>
    <x v="419"/>
    <n v="0"/>
    <n v="686709.78"/>
    <n v="387622.71"/>
    <n v="299087.07"/>
    <n v="43.55"/>
    <x v="4"/>
    <x v="0"/>
    <s v="No"/>
  </r>
  <r>
    <s v="ORD-10421"/>
    <x v="319"/>
    <x v="2"/>
    <s v="Bangalore"/>
    <x v="6"/>
    <x v="0"/>
    <x v="25"/>
    <n v="25"/>
    <n v="327.06"/>
    <x v="420"/>
    <n v="0"/>
    <n v="8176.5"/>
    <n v="4306.33"/>
    <n v="3870.17"/>
    <n v="47.33"/>
    <x v="1"/>
    <x v="0"/>
    <s v="No"/>
  </r>
  <r>
    <s v="ORD-10422"/>
    <x v="320"/>
    <x v="1"/>
    <s v="Patna"/>
    <x v="13"/>
    <x v="0"/>
    <x v="0"/>
    <n v="13"/>
    <n v="1035.9000000000001"/>
    <x v="421"/>
    <n v="5"/>
    <n v="12793.36"/>
    <n v="5641.71"/>
    <n v="7151.65"/>
    <n v="55.9"/>
    <x v="4"/>
    <x v="0"/>
    <s v="No"/>
  </r>
  <r>
    <s v="ORD-10423"/>
    <x v="275"/>
    <x v="3"/>
    <s v="Pune"/>
    <x v="8"/>
    <x v="2"/>
    <x v="42"/>
    <n v="4"/>
    <n v="14556.34"/>
    <x v="422"/>
    <n v="0"/>
    <n v="58225.36"/>
    <n v="26538.03"/>
    <n v="31687.33"/>
    <n v="54.42"/>
    <x v="2"/>
    <x v="2"/>
    <s v="No"/>
  </r>
  <r>
    <s v="ORD-10424"/>
    <x v="321"/>
    <x v="3"/>
    <s v="Mumbai"/>
    <x v="8"/>
    <x v="1"/>
    <x v="10"/>
    <n v="1"/>
    <n v="2347.71"/>
    <x v="423"/>
    <n v="10"/>
    <n v="2112.94"/>
    <n v="1111.56"/>
    <n v="1001.38"/>
    <n v="47.39"/>
    <x v="2"/>
    <x v="1"/>
    <s v="No"/>
  </r>
  <r>
    <s v="ORD-10425"/>
    <x v="286"/>
    <x v="0"/>
    <s v="Jaipur"/>
    <x v="7"/>
    <x v="4"/>
    <x v="41"/>
    <n v="18"/>
    <n v="46718.65"/>
    <x v="424"/>
    <n v="0"/>
    <n v="840935.7"/>
    <n v="473411.13"/>
    <n v="367524.57"/>
    <n v="43.7"/>
    <x v="3"/>
    <x v="2"/>
    <s v="No"/>
  </r>
  <r>
    <s v="ORD-10426"/>
    <x v="322"/>
    <x v="0"/>
    <s v="Delhi"/>
    <x v="13"/>
    <x v="0"/>
    <x v="4"/>
    <n v="50"/>
    <n v="1171.97"/>
    <x v="425"/>
    <n v="5"/>
    <n v="55668.57"/>
    <n v="34586.089999999997"/>
    <n v="21082.48"/>
    <n v="37.869999999999997"/>
    <x v="3"/>
    <x v="1"/>
    <s v="No"/>
  </r>
  <r>
    <s v="ORD-10427"/>
    <x v="323"/>
    <x v="0"/>
    <s v="Agra"/>
    <x v="9"/>
    <x v="0"/>
    <x v="4"/>
    <n v="25"/>
    <n v="843.22"/>
    <x v="426"/>
    <n v="10"/>
    <n v="18972.45"/>
    <n v="12917.67"/>
    <n v="6054.78"/>
    <n v="31.91"/>
    <x v="0"/>
    <x v="4"/>
    <s v="No"/>
  </r>
  <r>
    <s v="ORD-10428"/>
    <x v="164"/>
    <x v="0"/>
    <s v="Jaipur"/>
    <x v="0"/>
    <x v="3"/>
    <x v="6"/>
    <n v="24"/>
    <n v="2235.67"/>
    <x v="427"/>
    <n v="25"/>
    <n v="40242.06"/>
    <n v="18726.099999999999"/>
    <n v="21515.96"/>
    <n v="53.47"/>
    <x v="3"/>
    <x v="4"/>
    <s v="No"/>
  </r>
  <r>
    <s v="ORD-10429"/>
    <x v="324"/>
    <x v="0"/>
    <s v="Chandigarh"/>
    <x v="13"/>
    <x v="2"/>
    <x v="35"/>
    <n v="16"/>
    <n v="480.82"/>
    <x v="428"/>
    <n v="0"/>
    <n v="7693.12"/>
    <n v="4418.34"/>
    <n v="3274.78"/>
    <n v="42.57"/>
    <x v="4"/>
    <x v="4"/>
    <s v="No"/>
  </r>
  <r>
    <s v="ORD-10430"/>
    <x v="62"/>
    <x v="1"/>
    <s v="Kolkata"/>
    <x v="9"/>
    <x v="1"/>
    <x v="9"/>
    <n v="6"/>
    <n v="3165.26"/>
    <x v="429"/>
    <n v="10"/>
    <n v="17092.400000000001"/>
    <n v="11610.09"/>
    <n v="5482.31"/>
    <n v="32.07"/>
    <x v="0"/>
    <x v="3"/>
    <s v="No"/>
  </r>
  <r>
    <s v="ORD-10431"/>
    <x v="215"/>
    <x v="2"/>
    <s v="Coimbatore"/>
    <x v="9"/>
    <x v="4"/>
    <x v="41"/>
    <n v="15"/>
    <n v="19550.98"/>
    <x v="430"/>
    <n v="20"/>
    <n v="234611.76"/>
    <n v="149346.47"/>
    <n v="85265.29"/>
    <n v="36.340000000000003"/>
    <x v="4"/>
    <x v="4"/>
    <s v="No"/>
  </r>
  <r>
    <s v="ORD-10432"/>
    <x v="19"/>
    <x v="3"/>
    <s v="Ahmedabad"/>
    <x v="14"/>
    <x v="0"/>
    <x v="27"/>
    <n v="3"/>
    <n v="623.54"/>
    <x v="431"/>
    <n v="15"/>
    <n v="1590.03"/>
    <n v="902.67"/>
    <n v="687.36"/>
    <n v="43.23"/>
    <x v="4"/>
    <x v="5"/>
    <s v="No"/>
  </r>
  <r>
    <s v="ORD-10433"/>
    <x v="102"/>
    <x v="1"/>
    <s v="Patna"/>
    <x v="14"/>
    <x v="0"/>
    <x v="3"/>
    <n v="39"/>
    <n v="1104.21"/>
    <x v="432"/>
    <n v="20"/>
    <n v="34451.35"/>
    <n v="15437.75"/>
    <n v="19013.599999999999"/>
    <n v="55.19"/>
    <x v="3"/>
    <x v="1"/>
    <s v="No"/>
  </r>
  <r>
    <s v="ORD-10434"/>
    <x v="325"/>
    <x v="1"/>
    <s v="Ranchi"/>
    <x v="7"/>
    <x v="2"/>
    <x v="11"/>
    <n v="50"/>
    <n v="9697.08"/>
    <x v="433"/>
    <n v="15"/>
    <n v="412125.9"/>
    <n v="255558.17"/>
    <n v="156567.73000000001"/>
    <n v="37.99"/>
    <x v="1"/>
    <x v="2"/>
    <s v="No"/>
  </r>
  <r>
    <s v="ORD-10435"/>
    <x v="130"/>
    <x v="2"/>
    <s v="Hyderabad"/>
    <x v="11"/>
    <x v="0"/>
    <x v="16"/>
    <n v="35"/>
    <n v="997.34"/>
    <x v="434"/>
    <n v="5"/>
    <n v="33161.56"/>
    <n v="18478.32"/>
    <n v="14683.24"/>
    <n v="44.28"/>
    <x v="1"/>
    <x v="5"/>
    <s v="No"/>
  </r>
  <r>
    <s v="ORD-10436"/>
    <x v="106"/>
    <x v="1"/>
    <s v="Guwahati"/>
    <x v="12"/>
    <x v="0"/>
    <x v="37"/>
    <n v="7"/>
    <n v="665.98"/>
    <x v="435"/>
    <n v="0"/>
    <n v="4661.8599999999997"/>
    <n v="1925.97"/>
    <n v="2735.89"/>
    <n v="58.69"/>
    <x v="3"/>
    <x v="3"/>
    <s v="No"/>
  </r>
  <r>
    <s v="ORD-10437"/>
    <x v="326"/>
    <x v="3"/>
    <s v="Pune"/>
    <x v="10"/>
    <x v="4"/>
    <x v="14"/>
    <n v="42"/>
    <n v="50308.93"/>
    <x v="436"/>
    <n v="25"/>
    <n v="1584731.29"/>
    <n v="866805.06"/>
    <n v="717926.23"/>
    <n v="45.3"/>
    <x v="1"/>
    <x v="2"/>
    <s v="Yes"/>
  </r>
  <r>
    <s v="ORD-10438"/>
    <x v="327"/>
    <x v="2"/>
    <s v="Coimbatore"/>
    <x v="7"/>
    <x v="0"/>
    <x v="16"/>
    <n v="14"/>
    <n v="814.44"/>
    <x v="437"/>
    <n v="0"/>
    <n v="11402.16"/>
    <n v="6161.93"/>
    <n v="5240.2299999999996"/>
    <n v="45.96"/>
    <x v="0"/>
    <x v="2"/>
    <s v="No"/>
  </r>
  <r>
    <s v="ORD-10439"/>
    <x v="328"/>
    <x v="3"/>
    <s v="Ahmedabad"/>
    <x v="6"/>
    <x v="0"/>
    <x v="23"/>
    <n v="40"/>
    <n v="377.71"/>
    <x v="438"/>
    <n v="0"/>
    <n v="15108.4"/>
    <n v="9371.59"/>
    <n v="5736.81"/>
    <n v="37.97"/>
    <x v="0"/>
    <x v="5"/>
    <s v="No"/>
  </r>
  <r>
    <s v="ORD-10440"/>
    <x v="329"/>
    <x v="0"/>
    <s v="Delhi"/>
    <x v="1"/>
    <x v="0"/>
    <x v="4"/>
    <n v="25"/>
    <n v="292.2"/>
    <x v="439"/>
    <n v="20"/>
    <n v="5844"/>
    <n v="3489.24"/>
    <n v="2354.7600000000002"/>
    <n v="40.29"/>
    <x v="3"/>
    <x v="0"/>
    <s v="No"/>
  </r>
  <r>
    <s v="ORD-10441"/>
    <x v="330"/>
    <x v="3"/>
    <s v="Mumbai"/>
    <x v="11"/>
    <x v="0"/>
    <x v="37"/>
    <n v="30"/>
    <n v="866.86"/>
    <x v="440"/>
    <n v="15"/>
    <n v="22104.93"/>
    <n v="14696.4"/>
    <n v="7408.53"/>
    <n v="33.520000000000003"/>
    <x v="3"/>
    <x v="0"/>
    <s v="No"/>
  </r>
  <r>
    <s v="ORD-10442"/>
    <x v="331"/>
    <x v="1"/>
    <s v="Bhubaneswar"/>
    <x v="4"/>
    <x v="5"/>
    <x v="15"/>
    <n v="23"/>
    <n v="7239.38"/>
    <x v="441"/>
    <n v="20"/>
    <n v="133204.59"/>
    <n v="92902.06"/>
    <n v="40302.53"/>
    <n v="30.26"/>
    <x v="2"/>
    <x v="1"/>
    <s v="No"/>
  </r>
  <r>
    <s v="ORD-10443"/>
    <x v="310"/>
    <x v="3"/>
    <s v="Ahmedabad"/>
    <x v="10"/>
    <x v="5"/>
    <x v="22"/>
    <n v="35"/>
    <n v="1868.64"/>
    <x v="442"/>
    <n v="20"/>
    <n v="52321.919999999998"/>
    <n v="35466.1"/>
    <n v="16855.82"/>
    <n v="32.22"/>
    <x v="2"/>
    <x v="1"/>
    <s v="No"/>
  </r>
  <r>
    <s v="ORD-10444"/>
    <x v="332"/>
    <x v="3"/>
    <s v="Mumbai"/>
    <x v="14"/>
    <x v="0"/>
    <x v="23"/>
    <n v="39"/>
    <n v="98.26"/>
    <x v="443"/>
    <n v="5"/>
    <n v="3640.53"/>
    <n v="2541.1799999999998"/>
    <n v="1099.3499999999999"/>
    <n v="30.2"/>
    <x v="0"/>
    <x v="2"/>
    <s v="No"/>
  </r>
  <r>
    <s v="ORD-10445"/>
    <x v="90"/>
    <x v="2"/>
    <s v="Hyderabad"/>
    <x v="4"/>
    <x v="4"/>
    <x v="29"/>
    <n v="36"/>
    <n v="31067.27"/>
    <x v="444"/>
    <n v="20"/>
    <n v="894737.38"/>
    <n v="606432.18000000005"/>
    <n v="288305.2"/>
    <n v="32.22"/>
    <x v="0"/>
    <x v="3"/>
    <s v="No"/>
  </r>
  <r>
    <s v="ORD-10446"/>
    <x v="333"/>
    <x v="2"/>
    <s v="Bangalore"/>
    <x v="4"/>
    <x v="2"/>
    <x v="5"/>
    <n v="38"/>
    <n v="4010.4"/>
    <x v="445"/>
    <n v="10"/>
    <n v="137155.68"/>
    <n v="88235.3"/>
    <n v="48920.38"/>
    <n v="35.67"/>
    <x v="1"/>
    <x v="1"/>
    <s v="No"/>
  </r>
  <r>
    <s v="ORD-10447"/>
    <x v="98"/>
    <x v="2"/>
    <s v="Chennai"/>
    <x v="3"/>
    <x v="0"/>
    <x v="37"/>
    <n v="31"/>
    <n v="273.64999999999998"/>
    <x v="446"/>
    <n v="25"/>
    <n v="6362.36"/>
    <n v="3886.48"/>
    <n v="2475.88"/>
    <n v="38.909999999999997"/>
    <x v="1"/>
    <x v="4"/>
    <s v="No"/>
  </r>
  <r>
    <s v="ORD-10448"/>
    <x v="334"/>
    <x v="3"/>
    <s v="Mumbai"/>
    <x v="2"/>
    <x v="4"/>
    <x v="47"/>
    <n v="28"/>
    <n v="25458.09"/>
    <x v="447"/>
    <n v="0"/>
    <n v="712826.52"/>
    <n v="471132.68"/>
    <n v="241693.84"/>
    <n v="33.909999999999997"/>
    <x v="1"/>
    <x v="3"/>
    <s v="No"/>
  </r>
  <r>
    <s v="ORD-10449"/>
    <x v="107"/>
    <x v="3"/>
    <s v="Mumbai"/>
    <x v="2"/>
    <x v="2"/>
    <x v="42"/>
    <n v="35"/>
    <n v="8625.9699999999993"/>
    <x v="448"/>
    <n v="10"/>
    <n v="271718.05"/>
    <n v="149640.70000000001"/>
    <n v="122077.35"/>
    <n v="44.93"/>
    <x v="3"/>
    <x v="3"/>
    <s v="No"/>
  </r>
  <r>
    <s v="ORD-10450"/>
    <x v="42"/>
    <x v="3"/>
    <s v="Surat"/>
    <x v="0"/>
    <x v="5"/>
    <x v="30"/>
    <n v="28"/>
    <n v="2460.31"/>
    <x v="449"/>
    <n v="15"/>
    <n v="58555.38"/>
    <n v="26022.23"/>
    <n v="32533.15"/>
    <n v="55.56"/>
    <x v="0"/>
    <x v="1"/>
    <s v="No"/>
  </r>
  <r>
    <s v="ORD-10451"/>
    <x v="335"/>
    <x v="0"/>
    <s v="Agra"/>
    <x v="12"/>
    <x v="3"/>
    <x v="6"/>
    <n v="26"/>
    <n v="1329.28"/>
    <x v="450"/>
    <n v="25"/>
    <n v="25920.959999999999"/>
    <n v="11382.22"/>
    <n v="14538.74"/>
    <n v="56.09"/>
    <x v="4"/>
    <x v="0"/>
    <s v="No"/>
  </r>
  <r>
    <s v="ORD-10452"/>
    <x v="65"/>
    <x v="3"/>
    <s v="Nagpur"/>
    <x v="0"/>
    <x v="1"/>
    <x v="1"/>
    <n v="5"/>
    <n v="1381.59"/>
    <x v="451"/>
    <n v="15"/>
    <n v="5871.76"/>
    <n v="2918.4"/>
    <n v="2953.36"/>
    <n v="50.3"/>
    <x v="0"/>
    <x v="3"/>
    <s v="No"/>
  </r>
  <r>
    <s v="ORD-10453"/>
    <x v="259"/>
    <x v="3"/>
    <s v="Ahmedabad"/>
    <x v="2"/>
    <x v="2"/>
    <x v="24"/>
    <n v="23"/>
    <n v="9050.2999999999993"/>
    <x v="452"/>
    <n v="0"/>
    <n v="208156.9"/>
    <n v="131327.1"/>
    <n v="76829.8"/>
    <n v="36.909999999999997"/>
    <x v="2"/>
    <x v="0"/>
    <s v="No"/>
  </r>
  <r>
    <s v="ORD-10454"/>
    <x v="336"/>
    <x v="3"/>
    <s v="Nagpur"/>
    <x v="7"/>
    <x v="1"/>
    <x v="34"/>
    <n v="15"/>
    <n v="1098.6600000000001"/>
    <x v="453"/>
    <n v="10"/>
    <n v="14831.91"/>
    <n v="6626.86"/>
    <n v="8205.0499999999993"/>
    <n v="55.32"/>
    <x v="0"/>
    <x v="4"/>
    <s v="No"/>
  </r>
  <r>
    <s v="ORD-10455"/>
    <x v="337"/>
    <x v="2"/>
    <s v="Hyderabad"/>
    <x v="5"/>
    <x v="4"/>
    <x v="47"/>
    <n v="8"/>
    <n v="18862.990000000002"/>
    <x v="454"/>
    <n v="15"/>
    <n v="128268.33"/>
    <n v="52182.69"/>
    <n v="76085.64"/>
    <n v="59.32"/>
    <x v="1"/>
    <x v="5"/>
    <s v="No"/>
  </r>
  <r>
    <s v="ORD-10456"/>
    <x v="262"/>
    <x v="1"/>
    <s v="Ranchi"/>
    <x v="5"/>
    <x v="3"/>
    <x v="19"/>
    <n v="45"/>
    <n v="1720.41"/>
    <x v="455"/>
    <n v="15"/>
    <n v="65805.679999999993"/>
    <n v="37831.78"/>
    <n v="27973.9"/>
    <n v="42.51"/>
    <x v="1"/>
    <x v="3"/>
    <s v="No"/>
  </r>
  <r>
    <s v="ORD-10457"/>
    <x v="338"/>
    <x v="0"/>
    <s v="Jaipur"/>
    <x v="7"/>
    <x v="1"/>
    <x v="8"/>
    <n v="30"/>
    <n v="3032.72"/>
    <x v="456"/>
    <n v="0"/>
    <n v="90981.6"/>
    <n v="38210.39"/>
    <n v="52771.21"/>
    <n v="58"/>
    <x v="2"/>
    <x v="4"/>
    <s v="No"/>
  </r>
  <r>
    <s v="ORD-10458"/>
    <x v="70"/>
    <x v="1"/>
    <s v="Kolkata"/>
    <x v="6"/>
    <x v="4"/>
    <x v="29"/>
    <n v="42"/>
    <n v="23682.17"/>
    <x v="457"/>
    <n v="15"/>
    <n v="845453.47"/>
    <n v="467165.54"/>
    <n v="378287.93"/>
    <n v="44.74"/>
    <x v="0"/>
    <x v="2"/>
    <s v="No"/>
  </r>
  <r>
    <s v="ORD-10459"/>
    <x v="339"/>
    <x v="0"/>
    <s v="Chandigarh"/>
    <x v="1"/>
    <x v="1"/>
    <x v="34"/>
    <n v="46"/>
    <n v="341.33"/>
    <x v="458"/>
    <n v="5"/>
    <n v="14916.12"/>
    <n v="10093.459999999999"/>
    <n v="4822.66"/>
    <n v="32.33"/>
    <x v="2"/>
    <x v="1"/>
    <s v="No"/>
  </r>
  <r>
    <s v="ORD-10460"/>
    <x v="340"/>
    <x v="2"/>
    <s v="Chennai"/>
    <x v="2"/>
    <x v="2"/>
    <x v="5"/>
    <n v="41"/>
    <n v="4779.08"/>
    <x v="459"/>
    <n v="20"/>
    <n v="156753.82"/>
    <n v="75675.02"/>
    <n v="81078.8"/>
    <n v="51.72"/>
    <x v="2"/>
    <x v="1"/>
    <s v="No"/>
  </r>
  <r>
    <s v="ORD-10461"/>
    <x v="341"/>
    <x v="0"/>
    <s v="Agra"/>
    <x v="8"/>
    <x v="2"/>
    <x v="24"/>
    <n v="22"/>
    <n v="13493.62"/>
    <x v="460"/>
    <n v="25"/>
    <n v="222644.73"/>
    <n v="98226"/>
    <n v="124418.73"/>
    <n v="55.88"/>
    <x v="1"/>
    <x v="4"/>
    <s v="No"/>
  </r>
  <r>
    <s v="ORD-10462"/>
    <x v="342"/>
    <x v="2"/>
    <s v="Kochi"/>
    <x v="13"/>
    <x v="1"/>
    <x v="9"/>
    <n v="20"/>
    <n v="4116.38"/>
    <x v="461"/>
    <n v="10"/>
    <n v="74094.84"/>
    <n v="39622.269999999997"/>
    <n v="34472.57"/>
    <n v="46.52"/>
    <x v="3"/>
    <x v="4"/>
    <s v="No"/>
  </r>
  <r>
    <s v="ORD-10463"/>
    <x v="343"/>
    <x v="2"/>
    <s v="Bangalore"/>
    <x v="13"/>
    <x v="2"/>
    <x v="28"/>
    <n v="50"/>
    <n v="2476.48"/>
    <x v="462"/>
    <n v="20"/>
    <n v="99059.199999999997"/>
    <n v="66878.2"/>
    <n v="32181"/>
    <n v="32.49"/>
    <x v="0"/>
    <x v="0"/>
    <s v="No"/>
  </r>
  <r>
    <s v="ORD-10464"/>
    <x v="344"/>
    <x v="0"/>
    <s v="Chandigarh"/>
    <x v="5"/>
    <x v="2"/>
    <x v="28"/>
    <n v="2"/>
    <n v="11563.62"/>
    <x v="463"/>
    <n v="15"/>
    <n v="19658.150000000001"/>
    <n v="13531.86"/>
    <n v="6126.29"/>
    <n v="31.16"/>
    <x v="4"/>
    <x v="4"/>
    <s v="No"/>
  </r>
  <r>
    <s v="ORD-10465"/>
    <x v="145"/>
    <x v="1"/>
    <s v="Bhubaneswar"/>
    <x v="8"/>
    <x v="1"/>
    <x v="10"/>
    <n v="12"/>
    <n v="361.34"/>
    <x v="464"/>
    <n v="20"/>
    <n v="3468.86"/>
    <n v="2029.57"/>
    <n v="1439.29"/>
    <n v="41.49"/>
    <x v="1"/>
    <x v="0"/>
    <s v="No"/>
  </r>
  <r>
    <s v="ORD-10466"/>
    <x v="120"/>
    <x v="2"/>
    <s v="Bangalore"/>
    <x v="2"/>
    <x v="0"/>
    <x v="23"/>
    <n v="6"/>
    <n v="850.72"/>
    <x v="465"/>
    <n v="15"/>
    <n v="4338.67"/>
    <n v="1910"/>
    <n v="2428.67"/>
    <n v="55.98"/>
    <x v="4"/>
    <x v="4"/>
    <s v="No"/>
  </r>
  <r>
    <s v="ORD-10467"/>
    <x v="345"/>
    <x v="2"/>
    <s v="Kochi"/>
    <x v="8"/>
    <x v="3"/>
    <x v="18"/>
    <n v="11"/>
    <n v="604.16"/>
    <x v="466"/>
    <n v="0"/>
    <n v="6645.76"/>
    <n v="3472.92"/>
    <n v="3172.84"/>
    <n v="47.74"/>
    <x v="2"/>
    <x v="1"/>
    <s v="No"/>
  </r>
  <r>
    <s v="ORD-10468"/>
    <x v="346"/>
    <x v="2"/>
    <s v="Bangalore"/>
    <x v="4"/>
    <x v="4"/>
    <x v="41"/>
    <n v="29"/>
    <n v="52134.04"/>
    <x v="467"/>
    <n v="15"/>
    <n v="1285104.0900000001"/>
    <n v="779234.19"/>
    <n v="505869.9"/>
    <n v="39.36"/>
    <x v="3"/>
    <x v="1"/>
    <s v="No"/>
  </r>
  <r>
    <s v="ORD-10469"/>
    <x v="347"/>
    <x v="0"/>
    <s v="Agra"/>
    <x v="5"/>
    <x v="0"/>
    <x v="25"/>
    <n v="21"/>
    <n v="521.45000000000005"/>
    <x v="468"/>
    <n v="25"/>
    <n v="8212.84"/>
    <n v="4694.3"/>
    <n v="3518.54"/>
    <n v="42.84"/>
    <x v="1"/>
    <x v="4"/>
    <s v="No"/>
  </r>
  <r>
    <s v="ORD-10470"/>
    <x v="122"/>
    <x v="0"/>
    <s v="Agra"/>
    <x v="9"/>
    <x v="4"/>
    <x v="39"/>
    <n v="3"/>
    <n v="52764.57"/>
    <x v="469"/>
    <n v="5"/>
    <n v="150379.01999999999"/>
    <n v="83552.210000000006"/>
    <n v="66826.81"/>
    <n v="44.44"/>
    <x v="0"/>
    <x v="0"/>
    <s v="No"/>
  </r>
  <r>
    <s v="ORD-10471"/>
    <x v="348"/>
    <x v="0"/>
    <s v="Chandigarh"/>
    <x v="13"/>
    <x v="2"/>
    <x v="11"/>
    <n v="20"/>
    <n v="11684.37"/>
    <x v="470"/>
    <n v="10"/>
    <n v="210318.66"/>
    <n v="113236.44"/>
    <n v="97082.22"/>
    <n v="46.16"/>
    <x v="2"/>
    <x v="0"/>
    <s v="No"/>
  </r>
  <r>
    <s v="ORD-10472"/>
    <x v="349"/>
    <x v="2"/>
    <s v="Kochi"/>
    <x v="12"/>
    <x v="0"/>
    <x v="3"/>
    <n v="47"/>
    <n v="640.74"/>
    <x v="471"/>
    <n v="5"/>
    <n v="28609.040000000001"/>
    <n v="18127.240000000002"/>
    <n v="10481.799999999999"/>
    <n v="36.64"/>
    <x v="1"/>
    <x v="5"/>
    <s v="No"/>
  </r>
  <r>
    <s v="ORD-10473"/>
    <x v="350"/>
    <x v="1"/>
    <s v="Guwahati"/>
    <x v="9"/>
    <x v="4"/>
    <x v="41"/>
    <n v="38"/>
    <n v="53879.76"/>
    <x v="472"/>
    <n v="5"/>
    <n v="1945059.34"/>
    <n v="1293006.47"/>
    <n v="652052.87"/>
    <n v="33.520000000000003"/>
    <x v="2"/>
    <x v="2"/>
    <s v="No"/>
  </r>
  <r>
    <s v="ORD-10474"/>
    <x v="351"/>
    <x v="2"/>
    <s v="Chennai"/>
    <x v="5"/>
    <x v="4"/>
    <x v="26"/>
    <n v="29"/>
    <n v="38337.089999999997"/>
    <x v="473"/>
    <n v="0"/>
    <n v="1111775.6100000001"/>
    <n v="619420.43999999994"/>
    <n v="492355.17"/>
    <n v="44.29"/>
    <x v="1"/>
    <x v="0"/>
    <s v="No"/>
  </r>
  <r>
    <s v="ORD-10475"/>
    <x v="158"/>
    <x v="3"/>
    <s v="Nagpur"/>
    <x v="3"/>
    <x v="3"/>
    <x v="45"/>
    <n v="11"/>
    <n v="2293.79"/>
    <x v="474"/>
    <n v="20"/>
    <n v="20185.349999999999"/>
    <n v="13350.42"/>
    <n v="6834.93"/>
    <n v="33.86"/>
    <x v="3"/>
    <x v="5"/>
    <s v="No"/>
  </r>
  <r>
    <s v="ORD-10476"/>
    <x v="200"/>
    <x v="0"/>
    <s v="Lucknow"/>
    <x v="5"/>
    <x v="2"/>
    <x v="44"/>
    <n v="50"/>
    <n v="14428.15"/>
    <x v="475"/>
    <n v="10"/>
    <n v="649266.75"/>
    <n v="381727.2"/>
    <n v="267539.55"/>
    <n v="41.21"/>
    <x v="3"/>
    <x v="5"/>
    <s v="Yes"/>
  </r>
  <r>
    <s v="ORD-10477"/>
    <x v="64"/>
    <x v="1"/>
    <s v="Kolkata"/>
    <x v="6"/>
    <x v="3"/>
    <x v="18"/>
    <n v="32"/>
    <n v="1427.23"/>
    <x v="476"/>
    <n v="0"/>
    <n v="45671.360000000001"/>
    <n v="26598.78"/>
    <n v="19072.580000000002"/>
    <n v="41.76"/>
    <x v="3"/>
    <x v="5"/>
    <s v="No"/>
  </r>
  <r>
    <s v="ORD-10478"/>
    <x v="204"/>
    <x v="3"/>
    <s v="Surat"/>
    <x v="12"/>
    <x v="3"/>
    <x v="18"/>
    <n v="39"/>
    <n v="1560.24"/>
    <x v="477"/>
    <n v="5"/>
    <n v="57806.89"/>
    <n v="38421.370000000003"/>
    <n v="19385.52"/>
    <n v="33.53"/>
    <x v="1"/>
    <x v="4"/>
    <s v="No"/>
  </r>
  <r>
    <s v="ORD-10479"/>
    <x v="352"/>
    <x v="2"/>
    <s v="Chennai"/>
    <x v="7"/>
    <x v="1"/>
    <x v="9"/>
    <n v="42"/>
    <n v="1733.33"/>
    <x v="478"/>
    <n v="5"/>
    <n v="69159.87"/>
    <n v="45379.16"/>
    <n v="23780.71"/>
    <n v="34.39"/>
    <x v="1"/>
    <x v="0"/>
    <s v="No"/>
  </r>
  <r>
    <s v="ORD-10480"/>
    <x v="82"/>
    <x v="0"/>
    <s v="Delhi"/>
    <x v="8"/>
    <x v="4"/>
    <x v="43"/>
    <n v="11"/>
    <n v="40587.760000000002"/>
    <x v="479"/>
    <n v="20"/>
    <n v="357172.29"/>
    <n v="213688.1"/>
    <n v="143484.19"/>
    <n v="40.17"/>
    <x v="1"/>
    <x v="0"/>
    <s v="No"/>
  </r>
  <r>
    <s v="ORD-10481"/>
    <x v="44"/>
    <x v="2"/>
    <s v="Kochi"/>
    <x v="4"/>
    <x v="0"/>
    <x v="37"/>
    <n v="3"/>
    <n v="184.3"/>
    <x v="480"/>
    <n v="10"/>
    <n v="497.61"/>
    <n v="247.24"/>
    <n v="250.37"/>
    <n v="50.31"/>
    <x v="0"/>
    <x v="1"/>
    <s v="No"/>
  </r>
  <r>
    <s v="ORD-10482"/>
    <x v="353"/>
    <x v="0"/>
    <s v="Jaipur"/>
    <x v="12"/>
    <x v="3"/>
    <x v="19"/>
    <n v="45"/>
    <n v="2169.61"/>
    <x v="481"/>
    <n v="10"/>
    <n v="87869.21"/>
    <n v="49041.2"/>
    <n v="38828.01"/>
    <n v="44.19"/>
    <x v="3"/>
    <x v="4"/>
    <s v="No"/>
  </r>
  <r>
    <s v="ORD-10483"/>
    <x v="4"/>
    <x v="0"/>
    <s v="Delhi"/>
    <x v="9"/>
    <x v="5"/>
    <x v="30"/>
    <n v="47"/>
    <n v="5571.5"/>
    <x v="482"/>
    <n v="25"/>
    <n v="196395.38"/>
    <n v="95478.83"/>
    <n v="100916.55"/>
    <n v="51.38"/>
    <x v="2"/>
    <x v="2"/>
    <s v="No"/>
  </r>
  <r>
    <s v="ORD-10484"/>
    <x v="88"/>
    <x v="1"/>
    <s v="Bhubaneswar"/>
    <x v="1"/>
    <x v="5"/>
    <x v="15"/>
    <n v="47"/>
    <n v="5128.49"/>
    <x v="483"/>
    <n v="15"/>
    <n v="204883.18"/>
    <n v="131615.75"/>
    <n v="73267.429999999993"/>
    <n v="35.76"/>
    <x v="3"/>
    <x v="4"/>
    <s v="No"/>
  </r>
  <r>
    <s v="ORD-10485"/>
    <x v="354"/>
    <x v="2"/>
    <s v="Chennai"/>
    <x v="9"/>
    <x v="4"/>
    <x v="14"/>
    <n v="41"/>
    <n v="47966.57"/>
    <x v="484"/>
    <n v="25"/>
    <n v="1474972.03"/>
    <n v="965252.58"/>
    <n v="509719.45"/>
    <n v="34.56"/>
    <x v="4"/>
    <x v="1"/>
    <s v="Yes"/>
  </r>
  <r>
    <s v="ORD-10486"/>
    <x v="20"/>
    <x v="1"/>
    <s v="Ranchi"/>
    <x v="7"/>
    <x v="0"/>
    <x v="4"/>
    <n v="41"/>
    <n v="305.33"/>
    <x v="485"/>
    <n v="10"/>
    <n v="11266.68"/>
    <n v="5366.6"/>
    <n v="5900.08"/>
    <n v="52.37"/>
    <x v="2"/>
    <x v="2"/>
    <s v="No"/>
  </r>
  <r>
    <s v="ORD-10487"/>
    <x v="128"/>
    <x v="1"/>
    <s v="Kolkata"/>
    <x v="2"/>
    <x v="4"/>
    <x v="47"/>
    <n v="26"/>
    <n v="43684.28"/>
    <x v="486"/>
    <n v="20"/>
    <n v="908633.02"/>
    <n v="625170.27"/>
    <n v="283462.75"/>
    <n v="31.2"/>
    <x v="3"/>
    <x v="2"/>
    <s v="No"/>
  </r>
  <r>
    <s v="ORD-10488"/>
    <x v="355"/>
    <x v="3"/>
    <s v="Surat"/>
    <x v="9"/>
    <x v="4"/>
    <x v="41"/>
    <n v="10"/>
    <n v="37930.269999999997"/>
    <x v="487"/>
    <n v="20"/>
    <n v="303442.15999999997"/>
    <n v="202935.62"/>
    <n v="100506.54"/>
    <n v="33.119999999999997"/>
    <x v="4"/>
    <x v="4"/>
    <s v="No"/>
  </r>
  <r>
    <s v="ORD-10489"/>
    <x v="356"/>
    <x v="1"/>
    <s v="Ranchi"/>
    <x v="1"/>
    <x v="0"/>
    <x v="37"/>
    <n v="35"/>
    <n v="100.96"/>
    <x v="488"/>
    <n v="20"/>
    <n v="2826.88"/>
    <n v="1712.09"/>
    <n v="1114.79"/>
    <n v="39.44"/>
    <x v="0"/>
    <x v="5"/>
    <s v="No"/>
  </r>
  <r>
    <s v="ORD-10490"/>
    <x v="173"/>
    <x v="0"/>
    <s v="Jaipur"/>
    <x v="10"/>
    <x v="3"/>
    <x v="19"/>
    <n v="39"/>
    <n v="1065.48"/>
    <x v="489"/>
    <n v="20"/>
    <n v="33242.980000000003"/>
    <n v="14462.47"/>
    <n v="18780.509999999998"/>
    <n v="56.49"/>
    <x v="2"/>
    <x v="4"/>
    <s v="Yes"/>
  </r>
  <r>
    <s v="ORD-10491"/>
    <x v="332"/>
    <x v="3"/>
    <s v="Mumbai"/>
    <x v="2"/>
    <x v="3"/>
    <x v="17"/>
    <n v="29"/>
    <n v="2099.23"/>
    <x v="490"/>
    <n v="10"/>
    <n v="54789.9"/>
    <n v="25468.639999999999"/>
    <n v="29321.26"/>
    <n v="53.52"/>
    <x v="3"/>
    <x v="3"/>
    <s v="No"/>
  </r>
  <r>
    <s v="ORD-10492"/>
    <x v="357"/>
    <x v="0"/>
    <s v="Chandigarh"/>
    <x v="1"/>
    <x v="4"/>
    <x v="39"/>
    <n v="2"/>
    <n v="48102.3"/>
    <x v="491"/>
    <n v="20"/>
    <n v="76963.679999999993"/>
    <n v="34342.99"/>
    <n v="42620.69"/>
    <n v="55.38"/>
    <x v="4"/>
    <x v="4"/>
    <s v="No"/>
  </r>
  <r>
    <s v="ORD-10493"/>
    <x v="358"/>
    <x v="1"/>
    <s v="Patna"/>
    <x v="6"/>
    <x v="1"/>
    <x v="10"/>
    <n v="34"/>
    <n v="3126.05"/>
    <x v="492"/>
    <n v="5"/>
    <n v="100971.41"/>
    <n v="46603.97"/>
    <n v="54367.44"/>
    <n v="53.84"/>
    <x v="4"/>
    <x v="1"/>
    <s v="No"/>
  </r>
  <r>
    <s v="ORD-10494"/>
    <x v="270"/>
    <x v="0"/>
    <s v="Delhi"/>
    <x v="11"/>
    <x v="2"/>
    <x v="42"/>
    <n v="39"/>
    <n v="13122.97"/>
    <x v="493"/>
    <n v="10"/>
    <n v="460616.25"/>
    <n v="248761.69"/>
    <n v="211854.56"/>
    <n v="45.99"/>
    <x v="0"/>
    <x v="0"/>
    <s v="No"/>
  </r>
  <r>
    <s v="ORD-10495"/>
    <x v="359"/>
    <x v="1"/>
    <s v="Kolkata"/>
    <x v="11"/>
    <x v="5"/>
    <x v="40"/>
    <n v="14"/>
    <n v="2702.87"/>
    <x v="494"/>
    <n v="5"/>
    <n v="35948.17"/>
    <n v="17469.740000000002"/>
    <n v="18478.43"/>
    <n v="51.4"/>
    <x v="2"/>
    <x v="1"/>
    <s v="No"/>
  </r>
  <r>
    <s v="ORD-10496"/>
    <x v="360"/>
    <x v="1"/>
    <s v="Bhubaneswar"/>
    <x v="12"/>
    <x v="1"/>
    <x v="8"/>
    <n v="1"/>
    <n v="4322.7700000000004"/>
    <x v="495"/>
    <n v="20"/>
    <n v="3458.22"/>
    <n v="1916.61"/>
    <n v="1541.61"/>
    <n v="44.58"/>
    <x v="1"/>
    <x v="2"/>
    <s v="No"/>
  </r>
  <r>
    <s v="ORD-10497"/>
    <x v="13"/>
    <x v="1"/>
    <s v="Bhubaneswar"/>
    <x v="10"/>
    <x v="0"/>
    <x v="0"/>
    <n v="16"/>
    <n v="271.83"/>
    <x v="496"/>
    <n v="10"/>
    <n v="3914.35"/>
    <n v="2285.9"/>
    <n v="1628.45"/>
    <n v="41.6"/>
    <x v="1"/>
    <x v="1"/>
    <s v="No"/>
  </r>
  <r>
    <s v="ORD-10498"/>
    <x v="225"/>
    <x v="0"/>
    <s v="Lucknow"/>
    <x v="12"/>
    <x v="0"/>
    <x v="23"/>
    <n v="25"/>
    <n v="140.26"/>
    <x v="497"/>
    <n v="15"/>
    <n v="2980.53"/>
    <n v="1542.65"/>
    <n v="1437.88"/>
    <n v="48.24"/>
    <x v="1"/>
    <x v="0"/>
    <s v="No"/>
  </r>
  <r>
    <s v="ORD-10499"/>
    <x v="243"/>
    <x v="3"/>
    <s v="Nagpur"/>
    <x v="2"/>
    <x v="2"/>
    <x v="44"/>
    <n v="13"/>
    <n v="10793.97"/>
    <x v="498"/>
    <n v="25"/>
    <n v="105241.21"/>
    <n v="67647.990000000005"/>
    <n v="37593.22"/>
    <n v="35.72"/>
    <x v="4"/>
    <x v="0"/>
    <s v="No"/>
  </r>
  <r>
    <s v="ORD-10500"/>
    <x v="361"/>
    <x v="3"/>
    <s v="Mumbai"/>
    <x v="11"/>
    <x v="3"/>
    <x v="6"/>
    <n v="42"/>
    <n v="1819.01"/>
    <x v="499"/>
    <n v="15"/>
    <n v="64938.66"/>
    <n v="35142.449999999997"/>
    <n v="29796.21"/>
    <n v="45.88"/>
    <x v="3"/>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00B7C-4921-475C-8DD0-19766B77CB86}" name="PivotTable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5" firstHeaderRow="1" firstDataRow="1" firstDataCol="1"/>
  <pivotFields count="20">
    <pivotField showAll="0"/>
    <pivotField numFmtId="14" showAll="0">
      <items count="363">
        <item x="207"/>
        <item x="32"/>
        <item x="18"/>
        <item x="160"/>
        <item x="301"/>
        <item x="294"/>
        <item x="217"/>
        <item x="56"/>
        <item x="345"/>
        <item x="53"/>
        <item x="325"/>
        <item x="295"/>
        <item x="163"/>
        <item x="29"/>
        <item x="94"/>
        <item x="51"/>
        <item x="216"/>
        <item x="45"/>
        <item x="322"/>
        <item x="229"/>
        <item x="77"/>
        <item x="358"/>
        <item x="117"/>
        <item x="244"/>
        <item x="292"/>
        <item x="118"/>
        <item x="174"/>
        <item x="270"/>
        <item x="165"/>
        <item x="150"/>
        <item x="69"/>
        <item x="103"/>
        <item x="159"/>
        <item x="5"/>
        <item x="201"/>
        <item x="241"/>
        <item x="340"/>
        <item x="205"/>
        <item x="113"/>
        <item x="20"/>
        <item x="298"/>
        <item x="312"/>
        <item x="22"/>
        <item x="96"/>
        <item x="222"/>
        <item x="111"/>
        <item x="293"/>
        <item x="243"/>
        <item x="157"/>
        <item x="314"/>
        <item x="336"/>
        <item x="284"/>
        <item x="136"/>
        <item x="151"/>
        <item x="350"/>
        <item x="333"/>
        <item x="221"/>
        <item x="98"/>
        <item x="190"/>
        <item x="60"/>
        <item x="75"/>
        <item x="275"/>
        <item x="37"/>
        <item x="320"/>
        <item x="164"/>
        <item x="95"/>
        <item x="214"/>
        <item x="200"/>
        <item x="283"/>
        <item x="277"/>
        <item x="224"/>
        <item x="149"/>
        <item x="106"/>
        <item x="342"/>
        <item x="249"/>
        <item x="24"/>
        <item x="335"/>
        <item x="72"/>
        <item x="86"/>
        <item x="123"/>
        <item x="261"/>
        <item x="158"/>
        <item x="255"/>
        <item x="90"/>
        <item x="213"/>
        <item x="323"/>
        <item x="264"/>
        <item x="121"/>
        <item x="63"/>
        <item x="330"/>
        <item x="258"/>
        <item x="259"/>
        <item x="196"/>
        <item x="226"/>
        <item x="128"/>
        <item x="308"/>
        <item x="179"/>
        <item x="296"/>
        <item x="286"/>
        <item x="152"/>
        <item x="318"/>
        <item x="16"/>
        <item x="197"/>
        <item x="10"/>
        <item x="192"/>
        <item x="360"/>
        <item x="337"/>
        <item x="142"/>
        <item x="135"/>
        <item x="104"/>
        <item x="93"/>
        <item x="199"/>
        <item x="7"/>
        <item x="107"/>
        <item x="30"/>
        <item x="290"/>
        <item x="361"/>
        <item x="59"/>
        <item x="334"/>
        <item x="83"/>
        <item x="166"/>
        <item x="91"/>
        <item x="14"/>
        <item x="319"/>
        <item x="11"/>
        <item x="280"/>
        <item x="23"/>
        <item x="175"/>
        <item x="203"/>
        <item x="189"/>
        <item x="310"/>
        <item x="46"/>
        <item x="305"/>
        <item x="144"/>
        <item x="76"/>
        <item x="274"/>
        <item x="240"/>
        <item x="101"/>
        <item x="252"/>
        <item x="204"/>
        <item x="31"/>
        <item x="71"/>
        <item x="3"/>
        <item x="154"/>
        <item x="148"/>
        <item x="33"/>
        <item x="332"/>
        <item x="344"/>
        <item x="328"/>
        <item x="339"/>
        <item x="173"/>
        <item x="119"/>
        <item x="114"/>
        <item x="256"/>
        <item x="134"/>
        <item x="21"/>
        <item x="343"/>
        <item x="143"/>
        <item x="253"/>
        <item x="35"/>
        <item x="278"/>
        <item x="331"/>
        <item x="223"/>
        <item x="131"/>
        <item x="186"/>
        <item x="129"/>
        <item x="36"/>
        <item x="42"/>
        <item x="13"/>
        <item x="357"/>
        <item x="268"/>
        <item x="127"/>
        <item x="215"/>
        <item x="191"/>
        <item x="250"/>
        <item x="248"/>
        <item x="41"/>
        <item x="307"/>
        <item x="356"/>
        <item x="49"/>
        <item x="85"/>
        <item x="87"/>
        <item x="27"/>
        <item x="303"/>
        <item x="99"/>
        <item x="251"/>
        <item x="47"/>
        <item x="181"/>
        <item x="44"/>
        <item x="2"/>
        <item x="276"/>
        <item x="341"/>
        <item x="74"/>
        <item x="351"/>
        <item x="184"/>
        <item x="195"/>
        <item x="228"/>
        <item x="122"/>
        <item x="68"/>
        <item x="180"/>
        <item x="246"/>
        <item x="187"/>
        <item x="269"/>
        <item x="297"/>
        <item x="79"/>
        <item x="168"/>
        <item x="235"/>
        <item x="348"/>
        <item x="81"/>
        <item x="125"/>
        <item x="97"/>
        <item x="271"/>
        <item x="237"/>
        <item x="132"/>
        <item x="233"/>
        <item x="304"/>
        <item x="84"/>
        <item x="110"/>
        <item x="78"/>
        <item x="313"/>
        <item x="311"/>
        <item x="170"/>
        <item x="9"/>
        <item x="92"/>
        <item x="263"/>
        <item x="346"/>
        <item x="80"/>
        <item x="355"/>
        <item x="169"/>
        <item x="40"/>
        <item x="138"/>
        <item x="153"/>
        <item x="57"/>
        <item x="212"/>
        <item x="161"/>
        <item x="39"/>
        <item x="210"/>
        <item x="172"/>
        <item x="178"/>
        <item x="206"/>
        <item x="116"/>
        <item x="287"/>
        <item x="291"/>
        <item x="193"/>
        <item x="245"/>
        <item x="89"/>
        <item x="64"/>
        <item x="185"/>
        <item x="234"/>
        <item x="130"/>
        <item x="321"/>
        <item x="6"/>
        <item x="112"/>
        <item x="230"/>
        <item x="272"/>
        <item x="25"/>
        <item x="126"/>
        <item x="309"/>
        <item x="218"/>
        <item x="52"/>
        <item x="140"/>
        <item x="279"/>
        <item x="247"/>
        <item x="353"/>
        <item x="232"/>
        <item x="315"/>
        <item x="12"/>
        <item x="102"/>
        <item x="359"/>
        <item x="317"/>
        <item x="347"/>
        <item x="281"/>
        <item x="162"/>
        <item x="182"/>
        <item x="19"/>
        <item x="0"/>
        <item x="176"/>
        <item x="285"/>
        <item x="54"/>
        <item x="100"/>
        <item x="167"/>
        <item x="282"/>
        <item x="38"/>
        <item x="219"/>
        <item x="198"/>
        <item x="48"/>
        <item x="133"/>
        <item x="329"/>
        <item x="242"/>
        <item x="238"/>
        <item x="155"/>
        <item x="139"/>
        <item x="65"/>
        <item x="73"/>
        <item x="141"/>
        <item x="231"/>
        <item x="66"/>
        <item x="306"/>
        <item x="171"/>
        <item x="50"/>
        <item x="209"/>
        <item x="61"/>
        <item x="8"/>
        <item x="188"/>
        <item x="105"/>
        <item x="120"/>
        <item x="145"/>
        <item x="4"/>
        <item x="88"/>
        <item x="183"/>
        <item x="299"/>
        <item x="354"/>
        <item x="124"/>
        <item x="326"/>
        <item x="62"/>
        <item x="109"/>
        <item x="147"/>
        <item x="177"/>
        <item x="257"/>
        <item x="254"/>
        <item x="26"/>
        <item x="211"/>
        <item x="327"/>
        <item x="289"/>
        <item x="239"/>
        <item x="43"/>
        <item x="108"/>
        <item x="227"/>
        <item x="208"/>
        <item x="17"/>
        <item x="220"/>
        <item x="15"/>
        <item x="288"/>
        <item x="338"/>
        <item x="260"/>
        <item x="262"/>
        <item x="28"/>
        <item x="352"/>
        <item x="273"/>
        <item x="194"/>
        <item x="267"/>
        <item x="34"/>
        <item x="266"/>
        <item x="202"/>
        <item x="265"/>
        <item x="115"/>
        <item x="58"/>
        <item x="236"/>
        <item x="55"/>
        <item x="324"/>
        <item x="67"/>
        <item x="349"/>
        <item x="300"/>
        <item x="316"/>
        <item x="82"/>
        <item x="137"/>
        <item x="1"/>
        <item x="156"/>
        <item x="225"/>
        <item x="302"/>
        <item x="146"/>
        <item x="70"/>
        <item t="default"/>
      </items>
    </pivotField>
    <pivotField axis="axisRow" showAll="0">
      <items count="5">
        <item h="1" x="1"/>
        <item x="0"/>
        <item h="1" x="2"/>
        <item h="1" x="3"/>
        <item t="default"/>
      </items>
    </pivotField>
    <pivotField showAll="0"/>
    <pivotField showAll="0"/>
    <pivotField showAll="0"/>
    <pivotField showAll="0"/>
    <pivotField showAll="0"/>
    <pivotField numFmtId="166" showAll="0"/>
    <pivotField dataField="1" numFmtId="166" showAll="0">
      <items count="501">
        <item x="407"/>
        <item x="480"/>
        <item x="344"/>
        <item x="365"/>
        <item x="361"/>
        <item x="247"/>
        <item x="93"/>
        <item x="79"/>
        <item x="138"/>
        <item x="92"/>
        <item x="413"/>
        <item x="322"/>
        <item x="311"/>
        <item x="274"/>
        <item x="431"/>
        <item x="309"/>
        <item x="360"/>
        <item x="312"/>
        <item x="257"/>
        <item x="27"/>
        <item x="74"/>
        <item x="423"/>
        <item x="77"/>
        <item x="113"/>
        <item x="256"/>
        <item x="36"/>
        <item x="133"/>
        <item x="497"/>
        <item x="488"/>
        <item x="0"/>
        <item x="143"/>
        <item x="112"/>
        <item x="136"/>
        <item x="443"/>
        <item x="342"/>
        <item x="273"/>
        <item x="44"/>
        <item x="495"/>
        <item x="464"/>
        <item x="496"/>
        <item x="187"/>
        <item x="65"/>
        <item x="435"/>
        <item x="277"/>
        <item x="38"/>
        <item x="465"/>
        <item x="181"/>
        <item x="60"/>
        <item x="62"/>
        <item x="359"/>
        <item x="46"/>
        <item x="161"/>
        <item x="18"/>
        <item x="154"/>
        <item x="115"/>
        <item x="82"/>
        <item x="270"/>
        <item x="466"/>
        <item x="451"/>
        <item x="291"/>
        <item x="330"/>
        <item x="439"/>
        <item x="176"/>
        <item x="428"/>
        <item x="333"/>
        <item x="366"/>
        <item x="420"/>
        <item x="175"/>
        <item x="134"/>
        <item x="446"/>
        <item x="245"/>
        <item x="380"/>
        <item x="3"/>
        <item x="268"/>
        <item x="239"/>
        <item x="414"/>
        <item x="248"/>
        <item x="43"/>
        <item x="96"/>
        <item x="253"/>
        <item x="324"/>
        <item x="379"/>
        <item x="122"/>
        <item x="347"/>
        <item x="308"/>
        <item x="468"/>
        <item x="20"/>
        <item x="21"/>
        <item x="387"/>
        <item x="437"/>
        <item x="326"/>
        <item x="141"/>
        <item x="394"/>
        <item x="297"/>
        <item x="150"/>
        <item x="69"/>
        <item x="174"/>
        <item x="375"/>
        <item x="156"/>
        <item x="485"/>
        <item x="195"/>
        <item x="271"/>
        <item x="421"/>
        <item x="183"/>
        <item x="412"/>
        <item x="404"/>
        <item x="240"/>
        <item x="1"/>
        <item x="91"/>
        <item x="400"/>
        <item x="313"/>
        <item x="401"/>
        <item x="25"/>
        <item x="66"/>
        <item x="178"/>
        <item x="438"/>
        <item x="398"/>
        <item x="369"/>
        <item x="191"/>
        <item x="147"/>
        <item x="137"/>
        <item x="458"/>
        <item x="403"/>
        <item x="153"/>
        <item x="292"/>
        <item x="2"/>
        <item x="453"/>
        <item x="378"/>
        <item x="306"/>
        <item x="30"/>
        <item x="40"/>
        <item x="255"/>
        <item x="201"/>
        <item x="357"/>
        <item x="101"/>
        <item x="118"/>
        <item x="244"/>
        <item x="285"/>
        <item x="212"/>
        <item x="111"/>
        <item x="179"/>
        <item x="252"/>
        <item x="76"/>
        <item x="429"/>
        <item x="99"/>
        <item x="296"/>
        <item x="221"/>
        <item x="10"/>
        <item x="260"/>
        <item x="204"/>
        <item x="334"/>
        <item x="250"/>
        <item x="202"/>
        <item x="315"/>
        <item x="22"/>
        <item x="42"/>
        <item x="24"/>
        <item x="426"/>
        <item x="50"/>
        <item x="4"/>
        <item x="159"/>
        <item x="104"/>
        <item x="463"/>
        <item x="17"/>
        <item x="371"/>
        <item x="185"/>
        <item x="343"/>
        <item x="75"/>
        <item x="216"/>
        <item x="58"/>
        <item x="474"/>
        <item x="211"/>
        <item x="392"/>
        <item x="224"/>
        <item x="237"/>
        <item x="440"/>
        <item x="132"/>
        <item x="222"/>
        <item x="325"/>
        <item x="51"/>
        <item x="217"/>
        <item x="383"/>
        <item x="298"/>
        <item x="335"/>
        <item x="302"/>
        <item x="190"/>
        <item x="417"/>
        <item x="165"/>
        <item x="282"/>
        <item x="377"/>
        <item x="41"/>
        <item x="471"/>
        <item x="362"/>
        <item x="19"/>
        <item x="261"/>
        <item x="192"/>
        <item x="337"/>
        <item x="144"/>
        <item x="52"/>
        <item x="54"/>
        <item x="278"/>
        <item x="350"/>
        <item x="316"/>
        <item x="205"/>
        <item x="450"/>
        <item x="157"/>
        <item x="434"/>
        <item x="196"/>
        <item x="182"/>
        <item x="199"/>
        <item x="35"/>
        <item x="295"/>
        <item x="241"/>
        <item x="81"/>
        <item x="290"/>
        <item x="351"/>
        <item x="86"/>
        <item x="494"/>
        <item x="358"/>
        <item x="207"/>
        <item x="382"/>
        <item x="29"/>
        <item x="14"/>
        <item x="489"/>
        <item x="432"/>
        <item x="146"/>
        <item x="55"/>
        <item x="90"/>
        <item x="319"/>
        <item x="370"/>
        <item x="476"/>
        <item x="95"/>
        <item x="103"/>
        <item x="235"/>
        <item x="249"/>
        <item x="80"/>
        <item x="348"/>
        <item x="354"/>
        <item x="231"/>
        <item x="234"/>
        <item x="276"/>
        <item x="206"/>
        <item x="323"/>
        <item x="331"/>
        <item x="189"/>
        <item x="397"/>
        <item x="123"/>
        <item x="427"/>
        <item x="406"/>
        <item x="327"/>
        <item x="384"/>
        <item x="410"/>
        <item x="422"/>
        <item x="425"/>
        <item x="346"/>
        <item x="108"/>
        <item x="125"/>
        <item x="477"/>
        <item x="490"/>
        <item x="158"/>
        <item x="98"/>
        <item x="219"/>
        <item x="385"/>
        <item x="11"/>
        <item x="34"/>
        <item x="353"/>
        <item x="100"/>
        <item x="368"/>
        <item x="442"/>
        <item x="173"/>
        <item x="332"/>
        <item x="449"/>
        <item x="293"/>
        <item x="304"/>
        <item x="280"/>
        <item x="39"/>
        <item x="152"/>
        <item x="6"/>
        <item x="194"/>
        <item x="300"/>
        <item x="478"/>
        <item x="408"/>
        <item x="26"/>
        <item x="287"/>
        <item x="246"/>
        <item x="345"/>
        <item x="288"/>
        <item x="499"/>
        <item x="286"/>
        <item x="455"/>
        <item x="367"/>
        <item x="8"/>
        <item x="89"/>
        <item x="390"/>
        <item x="172"/>
        <item x="391"/>
        <item x="416"/>
        <item x="461"/>
        <item x="318"/>
        <item x="242"/>
        <item x="307"/>
        <item x="160"/>
        <item x="94"/>
        <item x="265"/>
        <item x="31"/>
        <item x="119"/>
        <item x="162"/>
        <item x="9"/>
        <item x="456"/>
        <item x="395"/>
        <item x="121"/>
        <item x="364"/>
        <item x="213"/>
        <item x="232"/>
        <item x="88"/>
        <item x="491"/>
        <item x="481"/>
        <item x="48"/>
        <item x="170"/>
        <item x="373"/>
        <item x="63"/>
        <item x="105"/>
        <item x="492"/>
        <item x="305"/>
        <item x="12"/>
        <item x="233"/>
        <item x="220"/>
        <item x="411"/>
        <item x="279"/>
        <item x="228"/>
        <item x="193"/>
        <item x="355"/>
        <item x="462"/>
        <item x="97"/>
        <item x="47"/>
        <item x="405"/>
        <item x="341"/>
        <item x="301"/>
        <item x="376"/>
        <item x="338"/>
        <item x="83"/>
        <item x="372"/>
        <item x="149"/>
        <item x="148"/>
        <item x="498"/>
        <item x="356"/>
        <item x="124"/>
        <item x="116"/>
        <item x="188"/>
        <item x="117"/>
        <item x="59"/>
        <item x="145"/>
        <item x="454"/>
        <item x="340"/>
        <item x="445"/>
        <item x="135"/>
        <item x="386"/>
        <item x="328"/>
        <item x="262"/>
        <item x="203"/>
        <item x="469"/>
        <item x="127"/>
        <item x="57"/>
        <item x="441"/>
        <item x="169"/>
        <item x="13"/>
        <item x="106"/>
        <item x="155"/>
        <item x="167"/>
        <item x="317"/>
        <item x="53"/>
        <item x="5"/>
        <item x="166"/>
        <item x="284"/>
        <item x="64"/>
        <item x="374"/>
        <item x="236"/>
        <item x="120"/>
        <item x="459"/>
        <item x="289"/>
        <item x="16"/>
        <item x="452"/>
        <item x="110"/>
        <item x="71"/>
        <item x="415"/>
        <item x="352"/>
        <item x="129"/>
        <item x="215"/>
        <item x="45"/>
        <item x="114"/>
        <item x="130"/>
        <item x="470"/>
        <item x="363"/>
        <item x="349"/>
        <item x="310"/>
        <item x="483"/>
        <item x="254"/>
        <item x="139"/>
        <item x="267"/>
        <item x="109"/>
        <item x="336"/>
        <item x="264"/>
        <item x="184"/>
        <item x="230"/>
        <item x="482"/>
        <item x="168"/>
        <item x="303"/>
        <item x="15"/>
        <item x="78"/>
        <item x="314"/>
        <item x="218"/>
        <item x="177"/>
        <item x="389"/>
        <item x="251"/>
        <item x="107"/>
        <item x="269"/>
        <item x="430"/>
        <item x="388"/>
        <item x="460"/>
        <item x="448"/>
        <item x="128"/>
        <item x="320"/>
        <item x="102"/>
        <item x="266"/>
        <item x="329"/>
        <item x="180"/>
        <item x="72"/>
        <item x="281"/>
        <item x="151"/>
        <item x="227"/>
        <item x="197"/>
        <item x="37"/>
        <item x="61"/>
        <item x="487"/>
        <item x="32"/>
        <item x="258"/>
        <item x="142"/>
        <item x="85"/>
        <item x="126"/>
        <item x="56"/>
        <item x="23"/>
        <item x="226"/>
        <item x="479"/>
        <item x="393"/>
        <item x="396"/>
        <item x="339"/>
        <item x="402"/>
        <item x="433"/>
        <item x="399"/>
        <item x="409"/>
        <item x="171"/>
        <item x="493"/>
        <item x="225"/>
        <item x="67"/>
        <item x="210"/>
        <item x="321"/>
        <item x="49"/>
        <item x="263"/>
        <item x="275"/>
        <item x="214"/>
        <item x="299"/>
        <item x="259"/>
        <item x="84"/>
        <item x="419"/>
        <item x="447"/>
        <item x="475"/>
        <item x="163"/>
        <item x="294"/>
        <item x="198"/>
        <item x="272"/>
        <item x="424"/>
        <item x="68"/>
        <item x="186"/>
        <item x="73"/>
        <item x="209"/>
        <item x="457"/>
        <item x="229"/>
        <item x="164"/>
        <item x="208"/>
        <item x="473"/>
        <item x="444"/>
        <item x="486"/>
        <item x="243"/>
        <item x="200"/>
        <item x="140"/>
        <item x="238"/>
        <item x="223"/>
        <item x="70"/>
        <item x="467"/>
        <item x="131"/>
        <item x="283"/>
        <item x="87"/>
        <item x="7"/>
        <item x="484"/>
        <item x="472"/>
        <item x="436"/>
        <item x="33"/>
        <item x="381"/>
        <item x="28"/>
        <item x="418"/>
        <item t="default"/>
      </items>
    </pivotField>
    <pivotField numFmtId="43" showAll="0"/>
    <pivotField numFmtId="166" showAll="0"/>
    <pivotField numFmtId="166" showAll="0"/>
    <pivotField numFmtId="166" showAll="0"/>
    <pivotField numFmtId="43"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2">
    <i>
      <x v="1"/>
    </i>
    <i t="grand">
      <x/>
    </i>
  </rowItems>
  <colItems count="1">
    <i/>
  </colItems>
  <dataFields count="1">
    <dataField name="Sum of Revenue" fld="9" baseField="2" baseItem="0" numFmtId="44"/>
  </dataFields>
  <formats count="2">
    <format dxfId="251">
      <pivotArea grandRow="1" outline="0" collapsedLevelsAreSubtotals="1" fieldPosition="0"/>
    </format>
    <format dxfId="252">
      <pivotArea outline="0" fieldPosition="0">
        <references count="1">
          <reference field="4294967294" count="1">
            <x v="0"/>
          </reference>
        </references>
      </pivotArea>
    </format>
  </formats>
  <chartFormats count="1">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92" name="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A2DE50-E84C-4975-BAE6-1EA2836938E5}"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8" firstHeaderRow="1" firstDataRow="1" firstDataCol="1"/>
  <pivotFields count="20">
    <pivotField showAll="0"/>
    <pivotField numFmtId="14" showAll="0">
      <items count="363">
        <item x="207"/>
        <item x="32"/>
        <item x="18"/>
        <item x="160"/>
        <item x="301"/>
        <item x="294"/>
        <item x="217"/>
        <item x="56"/>
        <item x="345"/>
        <item x="53"/>
        <item x="325"/>
        <item x="295"/>
        <item x="163"/>
        <item x="29"/>
        <item x="94"/>
        <item x="51"/>
        <item x="216"/>
        <item x="45"/>
        <item x="322"/>
        <item x="229"/>
        <item x="77"/>
        <item x="358"/>
        <item x="117"/>
        <item x="244"/>
        <item x="292"/>
        <item x="118"/>
        <item x="174"/>
        <item x="270"/>
        <item x="165"/>
        <item x="150"/>
        <item x="69"/>
        <item x="103"/>
        <item x="159"/>
        <item x="5"/>
        <item x="201"/>
        <item x="241"/>
        <item x="340"/>
        <item x="205"/>
        <item x="113"/>
        <item x="20"/>
        <item x="298"/>
        <item x="312"/>
        <item x="22"/>
        <item x="96"/>
        <item x="222"/>
        <item x="111"/>
        <item x="293"/>
        <item x="243"/>
        <item x="157"/>
        <item x="314"/>
        <item x="336"/>
        <item x="284"/>
        <item x="136"/>
        <item x="151"/>
        <item x="350"/>
        <item x="333"/>
        <item x="221"/>
        <item x="98"/>
        <item x="190"/>
        <item x="60"/>
        <item x="75"/>
        <item x="275"/>
        <item x="37"/>
        <item x="320"/>
        <item x="164"/>
        <item x="95"/>
        <item x="214"/>
        <item x="200"/>
        <item x="283"/>
        <item x="277"/>
        <item x="224"/>
        <item x="149"/>
        <item x="106"/>
        <item x="342"/>
        <item x="249"/>
        <item x="24"/>
        <item x="335"/>
        <item x="72"/>
        <item x="86"/>
        <item x="123"/>
        <item x="261"/>
        <item x="158"/>
        <item x="255"/>
        <item x="90"/>
        <item x="213"/>
        <item x="323"/>
        <item x="264"/>
        <item x="121"/>
        <item x="63"/>
        <item x="330"/>
        <item x="258"/>
        <item x="259"/>
        <item x="196"/>
        <item x="226"/>
        <item x="128"/>
        <item x="308"/>
        <item x="179"/>
        <item x="296"/>
        <item x="286"/>
        <item x="152"/>
        <item x="318"/>
        <item x="16"/>
        <item x="197"/>
        <item x="10"/>
        <item x="192"/>
        <item x="360"/>
        <item x="337"/>
        <item x="142"/>
        <item x="135"/>
        <item x="104"/>
        <item x="93"/>
        <item x="199"/>
        <item x="7"/>
        <item x="107"/>
        <item x="30"/>
        <item x="290"/>
        <item x="361"/>
        <item x="59"/>
        <item x="334"/>
        <item x="83"/>
        <item x="166"/>
        <item x="91"/>
        <item x="14"/>
        <item x="319"/>
        <item x="11"/>
        <item x="280"/>
        <item x="23"/>
        <item x="175"/>
        <item x="203"/>
        <item x="189"/>
        <item x="310"/>
        <item x="46"/>
        <item x="305"/>
        <item x="144"/>
        <item x="76"/>
        <item x="274"/>
        <item x="240"/>
        <item x="101"/>
        <item x="252"/>
        <item x="204"/>
        <item x="31"/>
        <item x="71"/>
        <item x="3"/>
        <item x="154"/>
        <item x="148"/>
        <item x="33"/>
        <item x="332"/>
        <item x="344"/>
        <item x="328"/>
        <item x="339"/>
        <item x="173"/>
        <item x="119"/>
        <item x="114"/>
        <item x="256"/>
        <item x="134"/>
        <item x="21"/>
        <item x="343"/>
        <item x="143"/>
        <item x="253"/>
        <item x="35"/>
        <item x="278"/>
        <item x="331"/>
        <item x="223"/>
        <item x="131"/>
        <item x="186"/>
        <item x="129"/>
        <item x="36"/>
        <item x="42"/>
        <item x="13"/>
        <item x="357"/>
        <item x="268"/>
        <item x="127"/>
        <item x="215"/>
        <item x="191"/>
        <item x="250"/>
        <item x="248"/>
        <item x="41"/>
        <item x="307"/>
        <item x="356"/>
        <item x="49"/>
        <item x="85"/>
        <item x="87"/>
        <item x="27"/>
        <item x="303"/>
        <item x="99"/>
        <item x="251"/>
        <item x="47"/>
        <item x="181"/>
        <item x="44"/>
        <item x="2"/>
        <item x="276"/>
        <item x="341"/>
        <item x="74"/>
        <item x="351"/>
        <item x="184"/>
        <item x="195"/>
        <item x="228"/>
        <item x="122"/>
        <item x="68"/>
        <item x="180"/>
        <item x="246"/>
        <item x="187"/>
        <item x="269"/>
        <item x="297"/>
        <item x="79"/>
        <item x="168"/>
        <item x="235"/>
        <item x="348"/>
        <item x="81"/>
        <item x="125"/>
        <item x="97"/>
        <item x="271"/>
        <item x="237"/>
        <item x="132"/>
        <item x="233"/>
        <item x="304"/>
        <item x="84"/>
        <item x="110"/>
        <item x="78"/>
        <item x="313"/>
        <item x="311"/>
        <item x="170"/>
        <item x="9"/>
        <item x="92"/>
        <item x="263"/>
        <item x="346"/>
        <item x="80"/>
        <item x="355"/>
        <item x="169"/>
        <item x="40"/>
        <item x="138"/>
        <item x="153"/>
        <item x="57"/>
        <item x="212"/>
        <item x="161"/>
        <item x="39"/>
        <item x="210"/>
        <item x="172"/>
        <item x="178"/>
        <item x="206"/>
        <item x="116"/>
        <item x="287"/>
        <item x="291"/>
        <item x="193"/>
        <item x="245"/>
        <item x="89"/>
        <item x="64"/>
        <item x="185"/>
        <item x="234"/>
        <item x="130"/>
        <item x="321"/>
        <item x="6"/>
        <item x="112"/>
        <item x="230"/>
        <item x="272"/>
        <item x="25"/>
        <item x="126"/>
        <item x="309"/>
        <item x="218"/>
        <item x="52"/>
        <item x="140"/>
        <item x="279"/>
        <item x="247"/>
        <item x="353"/>
        <item x="232"/>
        <item x="315"/>
        <item x="12"/>
        <item x="102"/>
        <item x="359"/>
        <item x="317"/>
        <item x="347"/>
        <item x="281"/>
        <item x="162"/>
        <item x="182"/>
        <item x="19"/>
        <item x="0"/>
        <item x="176"/>
        <item x="285"/>
        <item x="54"/>
        <item x="100"/>
        <item x="167"/>
        <item x="282"/>
        <item x="38"/>
        <item x="219"/>
        <item x="198"/>
        <item x="48"/>
        <item x="133"/>
        <item x="329"/>
        <item x="242"/>
        <item x="238"/>
        <item x="155"/>
        <item x="139"/>
        <item x="65"/>
        <item x="73"/>
        <item x="141"/>
        <item x="231"/>
        <item x="66"/>
        <item x="306"/>
        <item x="171"/>
        <item x="50"/>
        <item x="209"/>
        <item x="61"/>
        <item x="8"/>
        <item x="188"/>
        <item x="105"/>
        <item x="120"/>
        <item x="145"/>
        <item x="4"/>
        <item x="88"/>
        <item x="183"/>
        <item x="299"/>
        <item x="354"/>
        <item x="124"/>
        <item x="326"/>
        <item x="62"/>
        <item x="109"/>
        <item x="147"/>
        <item x="177"/>
        <item x="257"/>
        <item x="254"/>
        <item x="26"/>
        <item x="211"/>
        <item x="327"/>
        <item x="289"/>
        <item x="239"/>
        <item x="43"/>
        <item x="108"/>
        <item x="227"/>
        <item x="208"/>
        <item x="17"/>
        <item x="220"/>
        <item x="15"/>
        <item x="288"/>
        <item x="338"/>
        <item x="260"/>
        <item x="262"/>
        <item x="28"/>
        <item x="352"/>
        <item x="273"/>
        <item x="194"/>
        <item x="267"/>
        <item x="34"/>
        <item x="266"/>
        <item x="202"/>
        <item x="265"/>
        <item x="115"/>
        <item x="58"/>
        <item x="236"/>
        <item x="55"/>
        <item x="324"/>
        <item x="67"/>
        <item x="349"/>
        <item x="300"/>
        <item x="316"/>
        <item x="82"/>
        <item x="137"/>
        <item x="1"/>
        <item x="156"/>
        <item x="225"/>
        <item x="302"/>
        <item x="146"/>
        <item x="70"/>
        <item t="default"/>
      </items>
    </pivotField>
    <pivotField showAll="0">
      <items count="5">
        <item h="1" x="1"/>
        <item x="0"/>
        <item h="1" x="2"/>
        <item h="1" x="3"/>
        <item t="default"/>
      </items>
    </pivotField>
    <pivotField showAll="0"/>
    <pivotField showAll="0"/>
    <pivotField showAll="0"/>
    <pivotField showAll="0"/>
    <pivotField showAll="0"/>
    <pivotField numFmtId="166" showAll="0"/>
    <pivotField dataField="1" numFmtId="166" showAll="0"/>
    <pivotField numFmtId="43" showAll="0"/>
    <pivotField numFmtId="166" showAll="0"/>
    <pivotField numFmtId="166" showAll="0"/>
    <pivotField numFmtId="166" showAll="0"/>
    <pivotField numFmtId="43"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9"/>
    <field x="18"/>
  </rowFields>
  <rowItems count="5">
    <i>
      <x v="1"/>
    </i>
    <i r="1">
      <x v="4"/>
    </i>
    <i r="1">
      <x v="5"/>
    </i>
    <i r="1">
      <x v="6"/>
    </i>
    <i t="grand">
      <x/>
    </i>
  </rowItems>
  <colItems count="1">
    <i/>
  </colItems>
  <dataFields count="1">
    <dataField name="Sum of Revenue" fld="9" baseField="0" baseItem="0" numFmtId="166"/>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80" name="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A7B44-5E30-4D1A-8262-CAE1AB1F5B76}" name="PivotTable4"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C14" firstHeaderRow="0" firstDataRow="1" firstDataCol="1"/>
  <pivotFields count="20">
    <pivotField showAll="0"/>
    <pivotField numFmtId="14" showAll="0">
      <items count="363">
        <item x="207"/>
        <item x="32"/>
        <item x="18"/>
        <item x="160"/>
        <item x="301"/>
        <item x="294"/>
        <item x="217"/>
        <item x="56"/>
        <item x="345"/>
        <item x="53"/>
        <item x="325"/>
        <item x="295"/>
        <item x="163"/>
        <item x="29"/>
        <item x="94"/>
        <item x="51"/>
        <item x="216"/>
        <item x="45"/>
        <item x="322"/>
        <item x="229"/>
        <item x="77"/>
        <item x="358"/>
        <item x="117"/>
        <item x="244"/>
        <item x="292"/>
        <item x="118"/>
        <item x="174"/>
        <item x="270"/>
        <item x="165"/>
        <item x="150"/>
        <item x="69"/>
        <item x="103"/>
        <item x="159"/>
        <item x="5"/>
        <item x="201"/>
        <item x="241"/>
        <item x="340"/>
        <item x="205"/>
        <item x="113"/>
        <item x="20"/>
        <item x="298"/>
        <item x="312"/>
        <item x="22"/>
        <item x="96"/>
        <item x="222"/>
        <item x="111"/>
        <item x="293"/>
        <item x="243"/>
        <item x="157"/>
        <item x="314"/>
        <item x="336"/>
        <item x="284"/>
        <item x="136"/>
        <item x="151"/>
        <item x="350"/>
        <item x="333"/>
        <item x="221"/>
        <item x="98"/>
        <item x="190"/>
        <item x="60"/>
        <item x="75"/>
        <item x="275"/>
        <item x="37"/>
        <item x="320"/>
        <item x="164"/>
        <item x="95"/>
        <item x="214"/>
        <item x="200"/>
        <item x="283"/>
        <item x="277"/>
        <item x="224"/>
        <item x="149"/>
        <item x="106"/>
        <item x="342"/>
        <item x="249"/>
        <item x="24"/>
        <item x="335"/>
        <item x="72"/>
        <item x="86"/>
        <item x="123"/>
        <item x="261"/>
        <item x="158"/>
        <item x="255"/>
        <item x="90"/>
        <item x="213"/>
        <item x="323"/>
        <item x="264"/>
        <item x="121"/>
        <item x="63"/>
        <item x="330"/>
        <item x="258"/>
        <item x="259"/>
        <item x="196"/>
        <item x="226"/>
        <item x="128"/>
        <item x="308"/>
        <item x="179"/>
        <item x="296"/>
        <item x="286"/>
        <item x="152"/>
        <item x="318"/>
        <item x="16"/>
        <item x="197"/>
        <item x="10"/>
        <item x="192"/>
        <item x="360"/>
        <item x="337"/>
        <item x="142"/>
        <item x="135"/>
        <item x="104"/>
        <item x="93"/>
        <item x="199"/>
        <item x="7"/>
        <item x="107"/>
        <item x="30"/>
        <item x="290"/>
        <item x="361"/>
        <item x="59"/>
        <item x="334"/>
        <item x="83"/>
        <item x="166"/>
        <item x="91"/>
        <item x="14"/>
        <item x="319"/>
        <item x="11"/>
        <item x="280"/>
        <item x="23"/>
        <item x="175"/>
        <item x="203"/>
        <item x="189"/>
        <item x="310"/>
        <item x="46"/>
        <item x="305"/>
        <item x="144"/>
        <item x="76"/>
        <item x="274"/>
        <item x="240"/>
        <item x="101"/>
        <item x="252"/>
        <item x="204"/>
        <item x="31"/>
        <item x="71"/>
        <item x="3"/>
        <item x="154"/>
        <item x="148"/>
        <item x="33"/>
        <item x="332"/>
        <item x="344"/>
        <item x="328"/>
        <item x="339"/>
        <item x="173"/>
        <item x="119"/>
        <item x="114"/>
        <item x="256"/>
        <item x="134"/>
        <item x="21"/>
        <item x="343"/>
        <item x="143"/>
        <item x="253"/>
        <item x="35"/>
        <item x="278"/>
        <item x="331"/>
        <item x="223"/>
        <item x="131"/>
        <item x="186"/>
        <item x="129"/>
        <item x="36"/>
        <item x="42"/>
        <item x="13"/>
        <item x="357"/>
        <item x="268"/>
        <item x="127"/>
        <item x="215"/>
        <item x="191"/>
        <item x="250"/>
        <item x="248"/>
        <item x="41"/>
        <item x="307"/>
        <item x="356"/>
        <item x="49"/>
        <item x="85"/>
        <item x="87"/>
        <item x="27"/>
        <item x="303"/>
        <item x="99"/>
        <item x="251"/>
        <item x="47"/>
        <item x="181"/>
        <item x="44"/>
        <item x="2"/>
        <item x="276"/>
        <item x="341"/>
        <item x="74"/>
        <item x="351"/>
        <item x="184"/>
        <item x="195"/>
        <item x="228"/>
        <item x="122"/>
        <item x="68"/>
        <item x="180"/>
        <item x="246"/>
        <item x="187"/>
        <item x="269"/>
        <item x="297"/>
        <item x="79"/>
        <item x="168"/>
        <item x="235"/>
        <item x="348"/>
        <item x="81"/>
        <item x="125"/>
        <item x="97"/>
        <item x="271"/>
        <item x="237"/>
        <item x="132"/>
        <item x="233"/>
        <item x="304"/>
        <item x="84"/>
        <item x="110"/>
        <item x="78"/>
        <item x="313"/>
        <item x="311"/>
        <item x="170"/>
        <item x="9"/>
        <item x="92"/>
        <item x="263"/>
        <item x="346"/>
        <item x="80"/>
        <item x="355"/>
        <item x="169"/>
        <item x="40"/>
        <item x="138"/>
        <item x="153"/>
        <item x="57"/>
        <item x="212"/>
        <item x="161"/>
        <item x="39"/>
        <item x="210"/>
        <item x="172"/>
        <item x="178"/>
        <item x="206"/>
        <item x="116"/>
        <item x="287"/>
        <item x="291"/>
        <item x="193"/>
        <item x="245"/>
        <item x="89"/>
        <item x="64"/>
        <item x="185"/>
        <item x="234"/>
        <item x="130"/>
        <item x="321"/>
        <item x="6"/>
        <item x="112"/>
        <item x="230"/>
        <item x="272"/>
        <item x="25"/>
        <item x="126"/>
        <item x="309"/>
        <item x="218"/>
        <item x="52"/>
        <item x="140"/>
        <item x="279"/>
        <item x="247"/>
        <item x="353"/>
        <item x="232"/>
        <item x="315"/>
        <item x="12"/>
        <item x="102"/>
        <item x="359"/>
        <item x="317"/>
        <item x="347"/>
        <item x="281"/>
        <item x="162"/>
        <item x="182"/>
        <item x="19"/>
        <item x="0"/>
        <item x="176"/>
        <item x="285"/>
        <item x="54"/>
        <item x="100"/>
        <item x="167"/>
        <item x="282"/>
        <item x="38"/>
        <item x="219"/>
        <item x="198"/>
        <item x="48"/>
        <item x="133"/>
        <item x="329"/>
        <item x="242"/>
        <item x="238"/>
        <item x="155"/>
        <item x="139"/>
        <item x="65"/>
        <item x="73"/>
        <item x="141"/>
        <item x="231"/>
        <item x="66"/>
        <item x="306"/>
        <item x="171"/>
        <item x="50"/>
        <item x="209"/>
        <item x="61"/>
        <item x="8"/>
        <item x="188"/>
        <item x="105"/>
        <item x="120"/>
        <item x="145"/>
        <item x="4"/>
        <item x="88"/>
        <item x="183"/>
        <item x="299"/>
        <item x="354"/>
        <item x="124"/>
        <item x="326"/>
        <item x="62"/>
        <item x="109"/>
        <item x="147"/>
        <item x="177"/>
        <item x="257"/>
        <item x="254"/>
        <item x="26"/>
        <item x="211"/>
        <item x="327"/>
        <item x="289"/>
        <item x="239"/>
        <item x="43"/>
        <item x="108"/>
        <item x="227"/>
        <item x="208"/>
        <item x="17"/>
        <item x="220"/>
        <item x="15"/>
        <item x="288"/>
        <item x="338"/>
        <item x="260"/>
        <item x="262"/>
        <item x="28"/>
        <item x="352"/>
        <item x="273"/>
        <item x="194"/>
        <item x="267"/>
        <item x="34"/>
        <item x="266"/>
        <item x="202"/>
        <item x="265"/>
        <item x="115"/>
        <item x="58"/>
        <item x="236"/>
        <item x="55"/>
        <item x="324"/>
        <item x="67"/>
        <item x="349"/>
        <item x="300"/>
        <item x="316"/>
        <item x="82"/>
        <item x="137"/>
        <item x="1"/>
        <item x="156"/>
        <item x="225"/>
        <item x="302"/>
        <item x="146"/>
        <item x="70"/>
        <item t="default"/>
      </items>
    </pivotField>
    <pivotField showAll="0">
      <items count="5">
        <item h="1" x="1"/>
        <item x="0"/>
        <item h="1" x="2"/>
        <item h="1" x="3"/>
        <item t="default"/>
      </items>
    </pivotField>
    <pivotField showAll="0"/>
    <pivotField axis="axisRow" showAll="0" sortType="descending">
      <items count="16">
        <item x="2"/>
        <item x="7"/>
        <item x="3"/>
        <item x="9"/>
        <item x="13"/>
        <item x="5"/>
        <item x="10"/>
        <item x="6"/>
        <item x="12"/>
        <item x="8"/>
        <item x="1"/>
        <item x="4"/>
        <item x="0"/>
        <item x="11"/>
        <item x="14"/>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6" showAll="0"/>
    <pivotField numFmtId="166" showAll="0"/>
    <pivotField numFmtId="43" showAll="0"/>
    <pivotField dataField="1" numFmtId="166" showAll="0"/>
    <pivotField numFmtId="166" showAll="0"/>
    <pivotField dataField="1" numFmtId="166" showAll="0"/>
    <pivotField numFmtId="43" showAll="0"/>
    <pivotField showAll="0"/>
    <pivotField showAll="0"/>
    <pivotField showAll="0"/>
    <pivotField showAll="0" defaultSubtotal="0"/>
    <pivotField showAll="0" defaultSubtotal="0">
      <items count="4">
        <item x="0"/>
        <item x="1"/>
        <item x="2"/>
        <item x="3"/>
      </items>
    </pivotField>
  </pivotFields>
  <rowFields count="1">
    <field x="4"/>
  </rowFields>
  <rowItems count="11">
    <i>
      <x v="7"/>
    </i>
    <i>
      <x v="5"/>
    </i>
    <i>
      <x v="4"/>
    </i>
    <i>
      <x v="9"/>
    </i>
    <i>
      <x v="12"/>
    </i>
    <i>
      <x v="8"/>
    </i>
    <i>
      <x v="2"/>
    </i>
    <i>
      <x v="14"/>
    </i>
    <i>
      <x v="3"/>
    </i>
    <i>
      <x/>
    </i>
    <i t="grand">
      <x/>
    </i>
  </rowItems>
  <colFields count="1">
    <field x="-2"/>
  </colFields>
  <colItems count="2">
    <i>
      <x/>
    </i>
    <i i="1">
      <x v="1"/>
    </i>
  </colItems>
  <dataFields count="2">
    <dataField name="Sum of Net_Revenue" fld="11" baseField="0" baseItem="0" numFmtId="166"/>
    <dataField name="Sum of Profit" fld="13" baseField="0" baseItem="0" numFmtId="166"/>
  </dataFields>
  <formats count="3">
    <format dxfId="247">
      <pivotArea dataOnly="0" fieldPosition="0">
        <references count="1">
          <reference field="4" count="1">
            <x v="3"/>
          </reference>
        </references>
      </pivotArea>
    </format>
    <format dxfId="248">
      <pivotArea collapsedLevelsAreSubtotals="1" fieldPosition="0">
        <references count="1">
          <reference field="4" count="1">
            <x v="3"/>
          </reference>
        </references>
      </pivotArea>
    </format>
    <format dxfId="249">
      <pivotArea dataOnly="0" labelOnly="1" fieldPosition="0">
        <references count="1">
          <reference field="4" count="1">
            <x v="3"/>
          </reference>
        </references>
      </pivotArea>
    </format>
  </formats>
  <conditionalFormats count="1">
    <conditionalFormat type="all" priority="1">
      <pivotAreas count="1">
        <pivotArea type="data" collapsedLevelsAreSubtotals="1" fieldPosition="0">
          <references count="2">
            <reference field="4294967294" count="1" selected="0">
              <x v="1"/>
            </reference>
            <reference field="4" count="15">
              <x v="0"/>
              <x v="1"/>
              <x v="2"/>
              <x v="3"/>
              <x v="4"/>
              <x v="5"/>
              <x v="6"/>
              <x v="7"/>
              <x v="8"/>
              <x v="9"/>
              <x v="10"/>
              <x v="11"/>
              <x v="12"/>
              <x v="13"/>
              <x v="14"/>
            </reference>
          </references>
        </pivotArea>
      </pivotAreas>
    </conditionalFormat>
  </conditionalFormats>
  <chartFormats count="2">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80" name="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E2918-851D-475D-9F94-172F216314D4}" name="PivotTable7"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E19:F26" firstHeaderRow="1" firstDataRow="1" firstDataCol="1"/>
  <pivotFields count="20">
    <pivotField showAll="0"/>
    <pivotField numFmtId="14" showAll="0">
      <items count="363">
        <item x="207"/>
        <item x="32"/>
        <item x="18"/>
        <item x="160"/>
        <item x="301"/>
        <item x="294"/>
        <item x="217"/>
        <item x="56"/>
        <item x="345"/>
        <item x="53"/>
        <item x="325"/>
        <item x="295"/>
        <item x="163"/>
        <item x="29"/>
        <item x="94"/>
        <item x="51"/>
        <item x="216"/>
        <item x="45"/>
        <item x="322"/>
        <item x="229"/>
        <item x="77"/>
        <item x="358"/>
        <item x="117"/>
        <item x="244"/>
        <item x="292"/>
        <item x="118"/>
        <item x="174"/>
        <item x="270"/>
        <item x="165"/>
        <item x="150"/>
        <item x="69"/>
        <item x="103"/>
        <item x="159"/>
        <item x="5"/>
        <item x="201"/>
        <item x="241"/>
        <item x="340"/>
        <item x="205"/>
        <item x="113"/>
        <item x="20"/>
        <item x="298"/>
        <item x="312"/>
        <item x="22"/>
        <item x="96"/>
        <item x="222"/>
        <item x="111"/>
        <item x="293"/>
        <item x="243"/>
        <item x="157"/>
        <item x="314"/>
        <item x="336"/>
        <item x="284"/>
        <item x="136"/>
        <item x="151"/>
        <item x="350"/>
        <item x="333"/>
        <item x="221"/>
        <item x="98"/>
        <item x="190"/>
        <item x="60"/>
        <item x="75"/>
        <item x="275"/>
        <item x="37"/>
        <item x="320"/>
        <item x="164"/>
        <item x="95"/>
        <item x="214"/>
        <item x="200"/>
        <item x="283"/>
        <item x="277"/>
        <item x="224"/>
        <item x="149"/>
        <item x="106"/>
        <item x="342"/>
        <item x="249"/>
        <item x="24"/>
        <item x="335"/>
        <item x="72"/>
        <item x="86"/>
        <item x="123"/>
        <item x="261"/>
        <item x="158"/>
        <item x="255"/>
        <item x="90"/>
        <item x="213"/>
        <item x="323"/>
        <item x="264"/>
        <item x="121"/>
        <item x="63"/>
        <item x="330"/>
        <item x="258"/>
        <item x="259"/>
        <item x="196"/>
        <item x="226"/>
        <item x="128"/>
        <item x="308"/>
        <item x="179"/>
        <item x="296"/>
        <item x="286"/>
        <item x="152"/>
        <item x="318"/>
        <item x="16"/>
        <item x="197"/>
        <item x="10"/>
        <item x="192"/>
        <item x="360"/>
        <item x="337"/>
        <item x="142"/>
        <item x="135"/>
        <item x="104"/>
        <item x="93"/>
        <item x="199"/>
        <item x="7"/>
        <item x="107"/>
        <item x="30"/>
        <item x="290"/>
        <item x="361"/>
        <item x="59"/>
        <item x="334"/>
        <item x="83"/>
        <item x="166"/>
        <item x="91"/>
        <item x="14"/>
        <item x="319"/>
        <item x="11"/>
        <item x="280"/>
        <item x="23"/>
        <item x="175"/>
        <item x="203"/>
        <item x="189"/>
        <item x="310"/>
        <item x="46"/>
        <item x="305"/>
        <item x="144"/>
        <item x="76"/>
        <item x="274"/>
        <item x="240"/>
        <item x="101"/>
        <item x="252"/>
        <item x="204"/>
        <item x="31"/>
        <item x="71"/>
        <item x="3"/>
        <item x="154"/>
        <item x="148"/>
        <item x="33"/>
        <item x="332"/>
        <item x="344"/>
        <item x="328"/>
        <item x="339"/>
        <item x="173"/>
        <item x="119"/>
        <item x="114"/>
        <item x="256"/>
        <item x="134"/>
        <item x="21"/>
        <item x="343"/>
        <item x="143"/>
        <item x="253"/>
        <item x="35"/>
        <item x="278"/>
        <item x="331"/>
        <item x="223"/>
        <item x="131"/>
        <item x="186"/>
        <item x="129"/>
        <item x="36"/>
        <item x="42"/>
        <item x="13"/>
        <item x="357"/>
        <item x="268"/>
        <item x="127"/>
        <item x="215"/>
        <item x="191"/>
        <item x="250"/>
        <item x="248"/>
        <item x="41"/>
        <item x="307"/>
        <item x="356"/>
        <item x="49"/>
        <item x="85"/>
        <item x="87"/>
        <item x="27"/>
        <item x="303"/>
        <item x="99"/>
        <item x="251"/>
        <item x="47"/>
        <item x="181"/>
        <item x="44"/>
        <item x="2"/>
        <item x="276"/>
        <item x="341"/>
        <item x="74"/>
        <item x="351"/>
        <item x="184"/>
        <item x="195"/>
        <item x="228"/>
        <item x="122"/>
        <item x="68"/>
        <item x="180"/>
        <item x="246"/>
        <item x="187"/>
        <item x="269"/>
        <item x="297"/>
        <item x="79"/>
        <item x="168"/>
        <item x="235"/>
        <item x="348"/>
        <item x="81"/>
        <item x="125"/>
        <item x="97"/>
        <item x="271"/>
        <item x="237"/>
        <item x="132"/>
        <item x="233"/>
        <item x="304"/>
        <item x="84"/>
        <item x="110"/>
        <item x="78"/>
        <item x="313"/>
        <item x="311"/>
        <item x="170"/>
        <item x="9"/>
        <item x="92"/>
        <item x="263"/>
        <item x="346"/>
        <item x="80"/>
        <item x="355"/>
        <item x="169"/>
        <item x="40"/>
        <item x="138"/>
        <item x="153"/>
        <item x="57"/>
        <item x="212"/>
        <item x="161"/>
        <item x="39"/>
        <item x="210"/>
        <item x="172"/>
        <item x="178"/>
        <item x="206"/>
        <item x="116"/>
        <item x="287"/>
        <item x="291"/>
        <item x="193"/>
        <item x="245"/>
        <item x="89"/>
        <item x="64"/>
        <item x="185"/>
        <item x="234"/>
        <item x="130"/>
        <item x="321"/>
        <item x="6"/>
        <item x="112"/>
        <item x="230"/>
        <item x="272"/>
        <item x="25"/>
        <item x="126"/>
        <item x="309"/>
        <item x="218"/>
        <item x="52"/>
        <item x="140"/>
        <item x="279"/>
        <item x="247"/>
        <item x="353"/>
        <item x="232"/>
        <item x="315"/>
        <item x="12"/>
        <item x="102"/>
        <item x="359"/>
        <item x="317"/>
        <item x="347"/>
        <item x="281"/>
        <item x="162"/>
        <item x="182"/>
        <item x="19"/>
        <item x="0"/>
        <item x="176"/>
        <item x="285"/>
        <item x="54"/>
        <item x="100"/>
        <item x="167"/>
        <item x="282"/>
        <item x="38"/>
        <item x="219"/>
        <item x="198"/>
        <item x="48"/>
        <item x="133"/>
        <item x="329"/>
        <item x="242"/>
        <item x="238"/>
        <item x="155"/>
        <item x="139"/>
        <item x="65"/>
        <item x="73"/>
        <item x="141"/>
        <item x="231"/>
        <item x="66"/>
        <item x="306"/>
        <item x="171"/>
        <item x="50"/>
        <item x="209"/>
        <item x="61"/>
        <item x="8"/>
        <item x="188"/>
        <item x="105"/>
        <item x="120"/>
        <item x="145"/>
        <item x="4"/>
        <item x="88"/>
        <item x="183"/>
        <item x="299"/>
        <item x="354"/>
        <item x="124"/>
        <item x="326"/>
        <item x="62"/>
        <item x="109"/>
        <item x="147"/>
        <item x="177"/>
        <item x="257"/>
        <item x="254"/>
        <item x="26"/>
        <item x="211"/>
        <item x="327"/>
        <item x="289"/>
        <item x="239"/>
        <item x="43"/>
        <item x="108"/>
        <item x="227"/>
        <item x="208"/>
        <item x="17"/>
        <item x="220"/>
        <item x="15"/>
        <item x="288"/>
        <item x="338"/>
        <item x="260"/>
        <item x="262"/>
        <item x="28"/>
        <item x="352"/>
        <item x="273"/>
        <item x="194"/>
        <item x="267"/>
        <item x="34"/>
        <item x="266"/>
        <item x="202"/>
        <item x="265"/>
        <item x="115"/>
        <item x="58"/>
        <item x="236"/>
        <item x="55"/>
        <item x="324"/>
        <item x="67"/>
        <item x="349"/>
        <item x="300"/>
        <item x="316"/>
        <item x="82"/>
        <item x="137"/>
        <item x="1"/>
        <item x="156"/>
        <item x="225"/>
        <item x="302"/>
        <item x="146"/>
        <item x="70"/>
        <item t="default"/>
      </items>
    </pivotField>
    <pivotField showAll="0">
      <items count="5">
        <item h="1" x="1"/>
        <item x="0"/>
        <item h="1" x="2"/>
        <item h="1" x="3"/>
        <item t="default"/>
      </items>
    </pivotField>
    <pivotField showAll="0"/>
    <pivotField showAll="0"/>
    <pivotField showAll="0"/>
    <pivotField showAll="0"/>
    <pivotField showAll="0"/>
    <pivotField numFmtId="166" showAll="0"/>
    <pivotField dataField="1" numFmtId="166" showAll="0"/>
    <pivotField numFmtId="43" showAll="0"/>
    <pivotField numFmtId="166" showAll="0"/>
    <pivotField numFmtId="166" showAll="0"/>
    <pivotField numFmtId="166" showAll="0"/>
    <pivotField numFmtId="43" showAll="0"/>
    <pivotField showAll="0"/>
    <pivotField axis="axisRow" showAll="0">
      <items count="7">
        <item x="0"/>
        <item x="3"/>
        <item x="5"/>
        <item x="4"/>
        <item x="1"/>
        <item x="2"/>
        <item t="default"/>
      </items>
    </pivotField>
    <pivotField showAll="0"/>
    <pivotField showAll="0" defaultSubtotal="0"/>
    <pivotField showAll="0" defaultSubtotal="0">
      <items count="4">
        <item x="0"/>
        <item x="1"/>
        <item x="2"/>
        <item x="3"/>
      </items>
    </pivotField>
  </pivotFields>
  <rowFields count="1">
    <field x="16"/>
  </rowFields>
  <rowItems count="7">
    <i>
      <x/>
    </i>
    <i>
      <x v="1"/>
    </i>
    <i>
      <x v="2"/>
    </i>
    <i>
      <x v="3"/>
    </i>
    <i>
      <x v="4"/>
    </i>
    <i>
      <x v="5"/>
    </i>
    <i t="grand">
      <x/>
    </i>
  </rowItems>
  <colItems count="1">
    <i/>
  </colItems>
  <dataFields count="1">
    <dataField name="Sum of Revenue" fld="9" baseField="0" baseItem="0" numFmtId="165"/>
  </dataFields>
  <formats count="1">
    <format dxfId="0">
      <pivotArea grandRow="1" outline="0" collapsedLevelsAreSubtotals="1" fieldPosition="0"/>
    </format>
  </formats>
  <chartFormats count="1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6" count="1" selected="0">
            <x v="0"/>
          </reference>
        </references>
      </pivotArea>
    </chartFormat>
    <chartFormat chart="13" format="10">
      <pivotArea type="data" outline="0" fieldPosition="0">
        <references count="2">
          <reference field="4294967294" count="1" selected="0">
            <x v="0"/>
          </reference>
          <reference field="16" count="1" selected="0">
            <x v="1"/>
          </reference>
        </references>
      </pivotArea>
    </chartFormat>
    <chartFormat chart="13" format="11">
      <pivotArea type="data" outline="0" fieldPosition="0">
        <references count="2">
          <reference field="4294967294" count="1" selected="0">
            <x v="0"/>
          </reference>
          <reference field="16" count="1" selected="0">
            <x v="2"/>
          </reference>
        </references>
      </pivotArea>
    </chartFormat>
    <chartFormat chart="13" format="12">
      <pivotArea type="data" outline="0" fieldPosition="0">
        <references count="2">
          <reference field="4294967294" count="1" selected="0">
            <x v="0"/>
          </reference>
          <reference field="16" count="1" selected="0">
            <x v="3"/>
          </reference>
        </references>
      </pivotArea>
    </chartFormat>
    <chartFormat chart="13" format="13">
      <pivotArea type="data" outline="0" fieldPosition="0">
        <references count="2">
          <reference field="4294967294" count="1" selected="0">
            <x v="0"/>
          </reference>
          <reference field="16" count="1" selected="0">
            <x v="4"/>
          </reference>
        </references>
      </pivotArea>
    </chartFormat>
    <chartFormat chart="13" format="14">
      <pivotArea type="data" outline="0" fieldPosition="0">
        <references count="2">
          <reference field="4294967294" count="1" selected="0">
            <x v="0"/>
          </reference>
          <reference field="16" count="1" selected="0">
            <x v="5"/>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6" count="1" selected="0">
            <x v="0"/>
          </reference>
        </references>
      </pivotArea>
    </chartFormat>
    <chartFormat chart="16" format="3">
      <pivotArea type="data" outline="0" fieldPosition="0">
        <references count="2">
          <reference field="4294967294" count="1" selected="0">
            <x v="0"/>
          </reference>
          <reference field="16" count="1" selected="0">
            <x v="1"/>
          </reference>
        </references>
      </pivotArea>
    </chartFormat>
    <chartFormat chart="16" format="4">
      <pivotArea type="data" outline="0" fieldPosition="0">
        <references count="2">
          <reference field="4294967294" count="1" selected="0">
            <x v="0"/>
          </reference>
          <reference field="16" count="1" selected="0">
            <x v="2"/>
          </reference>
        </references>
      </pivotArea>
    </chartFormat>
    <chartFormat chart="16" format="5">
      <pivotArea type="data" outline="0" fieldPosition="0">
        <references count="2">
          <reference field="4294967294" count="1" selected="0">
            <x v="0"/>
          </reference>
          <reference field="16" count="1" selected="0">
            <x v="3"/>
          </reference>
        </references>
      </pivotArea>
    </chartFormat>
    <chartFormat chart="16" format="6">
      <pivotArea type="data" outline="0" fieldPosition="0">
        <references count="2">
          <reference field="4294967294" count="1" selected="0">
            <x v="0"/>
          </reference>
          <reference field="16" count="1" selected="0">
            <x v="4"/>
          </reference>
        </references>
      </pivotArea>
    </chartFormat>
    <chartFormat chart="16" format="7">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filters count="1">
    <filter fld="1" type="dateBetween" evalOrder="-1" id="280" name="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A5857-61F3-4D26-931A-05A893509614}"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9" firstHeaderRow="0" firstDataRow="1" firstDataCol="1"/>
  <pivotFields count="20">
    <pivotField showAll="0"/>
    <pivotField numFmtId="14" showAll="0">
      <items count="363">
        <item x="207"/>
        <item x="32"/>
        <item x="18"/>
        <item x="160"/>
        <item x="301"/>
        <item x="294"/>
        <item x="217"/>
        <item x="56"/>
        <item x="345"/>
        <item x="53"/>
        <item x="325"/>
        <item x="295"/>
        <item x="163"/>
        <item x="29"/>
        <item x="94"/>
        <item x="51"/>
        <item x="216"/>
        <item x="45"/>
        <item x="322"/>
        <item x="229"/>
        <item x="77"/>
        <item x="358"/>
        <item x="117"/>
        <item x="244"/>
        <item x="292"/>
        <item x="118"/>
        <item x="174"/>
        <item x="270"/>
        <item x="165"/>
        <item x="150"/>
        <item x="69"/>
        <item x="103"/>
        <item x="159"/>
        <item x="5"/>
        <item x="201"/>
        <item x="241"/>
        <item x="340"/>
        <item x="205"/>
        <item x="113"/>
        <item x="20"/>
        <item x="298"/>
        <item x="312"/>
        <item x="22"/>
        <item x="96"/>
        <item x="222"/>
        <item x="111"/>
        <item x="293"/>
        <item x="243"/>
        <item x="157"/>
        <item x="314"/>
        <item x="336"/>
        <item x="284"/>
        <item x="136"/>
        <item x="151"/>
        <item x="350"/>
        <item x="333"/>
        <item x="221"/>
        <item x="98"/>
        <item x="190"/>
        <item x="60"/>
        <item x="75"/>
        <item x="275"/>
        <item x="37"/>
        <item x="320"/>
        <item x="164"/>
        <item x="95"/>
        <item x="214"/>
        <item x="200"/>
        <item x="283"/>
        <item x="277"/>
        <item x="224"/>
        <item x="149"/>
        <item x="106"/>
        <item x="342"/>
        <item x="249"/>
        <item x="24"/>
        <item x="335"/>
        <item x="72"/>
        <item x="86"/>
        <item x="123"/>
        <item x="261"/>
        <item x="158"/>
        <item x="255"/>
        <item x="90"/>
        <item x="213"/>
        <item x="323"/>
        <item x="264"/>
        <item x="121"/>
        <item x="63"/>
        <item x="330"/>
        <item x="258"/>
        <item x="259"/>
        <item x="196"/>
        <item x="226"/>
        <item x="128"/>
        <item x="308"/>
        <item x="179"/>
        <item x="296"/>
        <item x="286"/>
        <item x="152"/>
        <item x="318"/>
        <item x="16"/>
        <item x="197"/>
        <item x="10"/>
        <item x="192"/>
        <item x="360"/>
        <item x="337"/>
        <item x="142"/>
        <item x="135"/>
        <item x="104"/>
        <item x="93"/>
        <item x="199"/>
        <item x="7"/>
        <item x="107"/>
        <item x="30"/>
        <item x="290"/>
        <item x="361"/>
        <item x="59"/>
        <item x="334"/>
        <item x="83"/>
        <item x="166"/>
        <item x="91"/>
        <item x="14"/>
        <item x="319"/>
        <item x="11"/>
        <item x="280"/>
        <item x="23"/>
        <item x="175"/>
        <item x="203"/>
        <item x="189"/>
        <item x="310"/>
        <item x="46"/>
        <item x="305"/>
        <item x="144"/>
        <item x="76"/>
        <item x="274"/>
        <item x="240"/>
        <item x="101"/>
        <item x="252"/>
        <item x="204"/>
        <item x="31"/>
        <item x="71"/>
        <item x="3"/>
        <item x="154"/>
        <item x="148"/>
        <item x="33"/>
        <item x="332"/>
        <item x="344"/>
        <item x="328"/>
        <item x="339"/>
        <item x="173"/>
        <item x="119"/>
        <item x="114"/>
        <item x="256"/>
        <item x="134"/>
        <item x="21"/>
        <item x="343"/>
        <item x="143"/>
        <item x="253"/>
        <item x="35"/>
        <item x="278"/>
        <item x="331"/>
        <item x="223"/>
        <item x="131"/>
        <item x="186"/>
        <item x="129"/>
        <item x="36"/>
        <item x="42"/>
        <item x="13"/>
        <item x="357"/>
        <item x="268"/>
        <item x="127"/>
        <item x="215"/>
        <item x="191"/>
        <item x="250"/>
        <item x="248"/>
        <item x="41"/>
        <item x="307"/>
        <item x="356"/>
        <item x="49"/>
        <item x="85"/>
        <item x="87"/>
        <item x="27"/>
        <item x="303"/>
        <item x="99"/>
        <item x="251"/>
        <item x="47"/>
        <item x="181"/>
        <item x="44"/>
        <item x="2"/>
        <item x="276"/>
        <item x="341"/>
        <item x="74"/>
        <item x="351"/>
        <item x="184"/>
        <item x="195"/>
        <item x="228"/>
        <item x="122"/>
        <item x="68"/>
        <item x="180"/>
        <item x="246"/>
        <item x="187"/>
        <item x="269"/>
        <item x="297"/>
        <item x="79"/>
        <item x="168"/>
        <item x="235"/>
        <item x="348"/>
        <item x="81"/>
        <item x="125"/>
        <item x="97"/>
        <item x="271"/>
        <item x="237"/>
        <item x="132"/>
        <item x="233"/>
        <item x="304"/>
        <item x="84"/>
        <item x="110"/>
        <item x="78"/>
        <item x="313"/>
        <item x="311"/>
        <item x="170"/>
        <item x="9"/>
        <item x="92"/>
        <item x="263"/>
        <item x="346"/>
        <item x="80"/>
        <item x="355"/>
        <item x="169"/>
        <item x="40"/>
        <item x="138"/>
        <item x="153"/>
        <item x="57"/>
        <item x="212"/>
        <item x="161"/>
        <item x="39"/>
        <item x="210"/>
        <item x="172"/>
        <item x="178"/>
        <item x="206"/>
        <item x="116"/>
        <item x="287"/>
        <item x="291"/>
        <item x="193"/>
        <item x="245"/>
        <item x="89"/>
        <item x="64"/>
        <item x="185"/>
        <item x="234"/>
        <item x="130"/>
        <item x="321"/>
        <item x="6"/>
        <item x="112"/>
        <item x="230"/>
        <item x="272"/>
        <item x="25"/>
        <item x="126"/>
        <item x="309"/>
        <item x="218"/>
        <item x="52"/>
        <item x="140"/>
        <item x="279"/>
        <item x="247"/>
        <item x="353"/>
        <item x="232"/>
        <item x="315"/>
        <item x="12"/>
        <item x="102"/>
        <item x="359"/>
        <item x="317"/>
        <item x="347"/>
        <item x="281"/>
        <item x="162"/>
        <item x="182"/>
        <item x="19"/>
        <item x="0"/>
        <item x="176"/>
        <item x="285"/>
        <item x="54"/>
        <item x="100"/>
        <item x="167"/>
        <item x="282"/>
        <item x="38"/>
        <item x="219"/>
        <item x="198"/>
        <item x="48"/>
        <item x="133"/>
        <item x="329"/>
        <item x="242"/>
        <item x="238"/>
        <item x="155"/>
        <item x="139"/>
        <item x="65"/>
        <item x="73"/>
        <item x="141"/>
        <item x="231"/>
        <item x="66"/>
        <item x="306"/>
        <item x="171"/>
        <item x="50"/>
        <item x="209"/>
        <item x="61"/>
        <item x="8"/>
        <item x="188"/>
        <item x="105"/>
        <item x="120"/>
        <item x="145"/>
        <item x="4"/>
        <item x="88"/>
        <item x="183"/>
        <item x="299"/>
        <item x="354"/>
        <item x="124"/>
        <item x="326"/>
        <item x="62"/>
        <item x="109"/>
        <item x="147"/>
        <item x="177"/>
        <item x="257"/>
        <item x="254"/>
        <item x="26"/>
        <item x="211"/>
        <item x="327"/>
        <item x="289"/>
        <item x="239"/>
        <item x="43"/>
        <item x="108"/>
        <item x="227"/>
        <item x="208"/>
        <item x="17"/>
        <item x="220"/>
        <item x="15"/>
        <item x="288"/>
        <item x="338"/>
        <item x="260"/>
        <item x="262"/>
        <item x="28"/>
        <item x="352"/>
        <item x="273"/>
        <item x="194"/>
        <item x="267"/>
        <item x="34"/>
        <item x="266"/>
        <item x="202"/>
        <item x="265"/>
        <item x="115"/>
        <item x="58"/>
        <item x="236"/>
        <item x="55"/>
        <item x="324"/>
        <item x="67"/>
        <item x="349"/>
        <item x="300"/>
        <item x="316"/>
        <item x="82"/>
        <item x="137"/>
        <item x="1"/>
        <item x="156"/>
        <item x="225"/>
        <item x="302"/>
        <item x="146"/>
        <item x="70"/>
        <item t="default"/>
      </items>
    </pivotField>
    <pivotField showAll="0">
      <items count="5">
        <item h="1" x="1"/>
        <item x="0"/>
        <item h="1" x="2"/>
        <item h="1" x="3"/>
        <item t="default"/>
      </items>
    </pivotField>
    <pivotField showAll="0"/>
    <pivotField showAll="0"/>
    <pivotField showAll="0"/>
    <pivotField showAll="0"/>
    <pivotField dataField="1" showAll="0"/>
    <pivotField numFmtId="166" showAll="0"/>
    <pivotField dataField="1" numFmtId="166" showAll="0"/>
    <pivotField numFmtId="43" showAll="0"/>
    <pivotField numFmtId="166" showAll="0"/>
    <pivotField numFmtId="166" showAll="0"/>
    <pivotField dataField="1" numFmtId="166" showAll="0"/>
    <pivotField numFmtId="43" showAll="0"/>
    <pivotField axis="axisRow" showAll="0">
      <items count="6">
        <item x="3"/>
        <item x="1"/>
        <item x="4"/>
        <item x="0"/>
        <item x="2"/>
        <item t="default"/>
      </items>
    </pivotField>
    <pivotField showAll="0"/>
    <pivotField showAll="0"/>
    <pivotField showAll="0" defaultSubtotal="0"/>
    <pivotField showAll="0" defaultSubtotal="0">
      <items count="4">
        <item x="0"/>
        <item x="1"/>
        <item x="2"/>
        <item x="3"/>
      </items>
    </pivotField>
  </pivotFields>
  <rowFields count="1">
    <field x="15"/>
  </rowFields>
  <rowItems count="6">
    <i>
      <x/>
    </i>
    <i>
      <x v="1"/>
    </i>
    <i>
      <x v="2"/>
    </i>
    <i>
      <x v="3"/>
    </i>
    <i>
      <x v="4"/>
    </i>
    <i t="grand">
      <x/>
    </i>
  </rowItems>
  <colFields count="1">
    <field x="-2"/>
  </colFields>
  <colItems count="3">
    <i>
      <x/>
    </i>
    <i i="1">
      <x v="1"/>
    </i>
    <i i="2">
      <x v="2"/>
    </i>
  </colItems>
  <dataFields count="3">
    <dataField name="Sum of Revenue" fld="9" showDataAs="percentOfTotal" baseField="0" baseItem="0" numFmtId="10"/>
    <dataField name="Sum of Profit" fld="13" showDataAs="percentOfTotal" baseField="0" baseItem="0" numFmtId="10"/>
    <dataField name="Sum of Units_Sold" fld="7" baseField="0" baseItem="0"/>
  </dataFields>
  <formats count="3">
    <format dxfId="244">
      <pivotArea collapsedLevelsAreSubtotals="1" fieldPosition="0">
        <references count="2">
          <reference field="4294967294" count="1" selected="0">
            <x v="0"/>
          </reference>
          <reference field="15" count="1">
            <x v="1"/>
          </reference>
        </references>
      </pivotArea>
    </format>
    <format dxfId="245">
      <pivotArea collapsedLevelsAreSubtotals="1" fieldPosition="0">
        <references count="2">
          <reference field="4294967294" count="1" selected="0">
            <x v="1"/>
          </reference>
          <reference field="15" count="1">
            <x v="1"/>
          </reference>
        </references>
      </pivotArea>
    </format>
    <format dxfId="246">
      <pivotArea collapsedLevelsAreSubtotals="1" fieldPosition="0">
        <references count="2">
          <reference field="4294967294" count="1" selected="0">
            <x v="2"/>
          </reference>
          <reference field="15" count="1">
            <x v="1"/>
          </reference>
        </references>
      </pivotArea>
    </format>
  </formats>
  <pivotTableStyleInfo name="PivotStyleLight16" showRowHeaders="1" showColHeaders="1" showRowStripes="0" showColStripes="0" showLastColumn="1"/>
  <filters count="1">
    <filter fld="1" type="dateBetween" evalOrder="-1" id="280" name="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CBC55E-5062-4FA5-AB3D-38289C02BF01}" name="PivotTable6"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6:C13" firstHeaderRow="1" firstDataRow="1" firstDataCol="1"/>
  <pivotFields count="20">
    <pivotField showAll="0"/>
    <pivotField numFmtId="14" showAll="0">
      <items count="363">
        <item x="207"/>
        <item x="32"/>
        <item x="18"/>
        <item x="160"/>
        <item x="301"/>
        <item x="294"/>
        <item x="217"/>
        <item x="56"/>
        <item x="345"/>
        <item x="53"/>
        <item x="325"/>
        <item x="295"/>
        <item x="163"/>
        <item x="29"/>
        <item x="94"/>
        <item x="51"/>
        <item x="216"/>
        <item x="45"/>
        <item x="322"/>
        <item x="229"/>
        <item x="77"/>
        <item x="358"/>
        <item x="117"/>
        <item x="244"/>
        <item x="292"/>
        <item x="118"/>
        <item x="174"/>
        <item x="270"/>
        <item x="165"/>
        <item x="150"/>
        <item x="69"/>
        <item x="103"/>
        <item x="159"/>
        <item x="5"/>
        <item x="201"/>
        <item x="241"/>
        <item x="340"/>
        <item x="205"/>
        <item x="113"/>
        <item x="20"/>
        <item x="298"/>
        <item x="312"/>
        <item x="22"/>
        <item x="96"/>
        <item x="222"/>
        <item x="111"/>
        <item x="293"/>
        <item x="243"/>
        <item x="157"/>
        <item x="314"/>
        <item x="336"/>
        <item x="284"/>
        <item x="136"/>
        <item x="151"/>
        <item x="350"/>
        <item x="333"/>
        <item x="221"/>
        <item x="98"/>
        <item x="190"/>
        <item x="60"/>
        <item x="75"/>
        <item x="275"/>
        <item x="37"/>
        <item x="320"/>
        <item x="164"/>
        <item x="95"/>
        <item x="214"/>
        <item x="200"/>
        <item x="283"/>
        <item x="277"/>
        <item x="224"/>
        <item x="149"/>
        <item x="106"/>
        <item x="342"/>
        <item x="249"/>
        <item x="24"/>
        <item x="335"/>
        <item x="72"/>
        <item x="86"/>
        <item x="123"/>
        <item x="261"/>
        <item x="158"/>
        <item x="255"/>
        <item x="90"/>
        <item x="213"/>
        <item x="323"/>
        <item x="264"/>
        <item x="121"/>
        <item x="63"/>
        <item x="330"/>
        <item x="258"/>
        <item x="259"/>
        <item x="196"/>
        <item x="226"/>
        <item x="128"/>
        <item x="308"/>
        <item x="179"/>
        <item x="296"/>
        <item x="286"/>
        <item x="152"/>
        <item x="318"/>
        <item x="16"/>
        <item x="197"/>
        <item x="10"/>
        <item x="192"/>
        <item x="360"/>
        <item x="337"/>
        <item x="142"/>
        <item x="135"/>
        <item x="104"/>
        <item x="93"/>
        <item x="199"/>
        <item x="7"/>
        <item x="107"/>
        <item x="30"/>
        <item x="290"/>
        <item x="361"/>
        <item x="59"/>
        <item x="334"/>
        <item x="83"/>
        <item x="166"/>
        <item x="91"/>
        <item x="14"/>
        <item x="319"/>
        <item x="11"/>
        <item x="280"/>
        <item x="23"/>
        <item x="175"/>
        <item x="203"/>
        <item x="189"/>
        <item x="310"/>
        <item x="46"/>
        <item x="305"/>
        <item x="144"/>
        <item x="76"/>
        <item x="274"/>
        <item x="240"/>
        <item x="101"/>
        <item x="252"/>
        <item x="204"/>
        <item x="31"/>
        <item x="71"/>
        <item x="3"/>
        <item x="154"/>
        <item x="148"/>
        <item x="33"/>
        <item x="332"/>
        <item x="344"/>
        <item x="328"/>
        <item x="339"/>
        <item x="173"/>
        <item x="119"/>
        <item x="114"/>
        <item x="256"/>
        <item x="134"/>
        <item x="21"/>
        <item x="343"/>
        <item x="143"/>
        <item x="253"/>
        <item x="35"/>
        <item x="278"/>
        <item x="331"/>
        <item x="223"/>
        <item x="131"/>
        <item x="186"/>
        <item x="129"/>
        <item x="36"/>
        <item x="42"/>
        <item x="13"/>
        <item x="357"/>
        <item x="268"/>
        <item x="127"/>
        <item x="215"/>
        <item x="191"/>
        <item x="250"/>
        <item x="248"/>
        <item x="41"/>
        <item x="307"/>
        <item x="356"/>
        <item x="49"/>
        <item x="85"/>
        <item x="87"/>
        <item x="27"/>
        <item x="303"/>
        <item x="99"/>
        <item x="251"/>
        <item x="47"/>
        <item x="181"/>
        <item x="44"/>
        <item x="2"/>
        <item x="276"/>
        <item x="341"/>
        <item x="74"/>
        <item x="351"/>
        <item x="184"/>
        <item x="195"/>
        <item x="228"/>
        <item x="122"/>
        <item x="68"/>
        <item x="180"/>
        <item x="246"/>
        <item x="187"/>
        <item x="269"/>
        <item x="297"/>
        <item x="79"/>
        <item x="168"/>
        <item x="235"/>
        <item x="348"/>
        <item x="81"/>
        <item x="125"/>
        <item x="97"/>
        <item x="271"/>
        <item x="237"/>
        <item x="132"/>
        <item x="233"/>
        <item x="304"/>
        <item x="84"/>
        <item x="110"/>
        <item x="78"/>
        <item x="313"/>
        <item x="311"/>
        <item x="170"/>
        <item x="9"/>
        <item x="92"/>
        <item x="263"/>
        <item x="346"/>
        <item x="80"/>
        <item x="355"/>
        <item x="169"/>
        <item x="40"/>
        <item x="138"/>
        <item x="153"/>
        <item x="57"/>
        <item x="212"/>
        <item x="161"/>
        <item x="39"/>
        <item x="210"/>
        <item x="172"/>
        <item x="178"/>
        <item x="206"/>
        <item x="116"/>
        <item x="287"/>
        <item x="291"/>
        <item x="193"/>
        <item x="245"/>
        <item x="89"/>
        <item x="64"/>
        <item x="185"/>
        <item x="234"/>
        <item x="130"/>
        <item x="321"/>
        <item x="6"/>
        <item x="112"/>
        <item x="230"/>
        <item x="272"/>
        <item x="25"/>
        <item x="126"/>
        <item x="309"/>
        <item x="218"/>
        <item x="52"/>
        <item x="140"/>
        <item x="279"/>
        <item x="247"/>
        <item x="353"/>
        <item x="232"/>
        <item x="315"/>
        <item x="12"/>
        <item x="102"/>
        <item x="359"/>
        <item x="317"/>
        <item x="347"/>
        <item x="281"/>
        <item x="162"/>
        <item x="182"/>
        <item x="19"/>
        <item x="0"/>
        <item x="176"/>
        <item x="285"/>
        <item x="54"/>
        <item x="100"/>
        <item x="167"/>
        <item x="282"/>
        <item x="38"/>
        <item x="219"/>
        <item x="198"/>
        <item x="48"/>
        <item x="133"/>
        <item x="329"/>
        <item x="242"/>
        <item x="238"/>
        <item x="155"/>
        <item x="139"/>
        <item x="65"/>
        <item x="73"/>
        <item x="141"/>
        <item x="231"/>
        <item x="66"/>
        <item x="306"/>
        <item x="171"/>
        <item x="50"/>
        <item x="209"/>
        <item x="61"/>
        <item x="8"/>
        <item x="188"/>
        <item x="105"/>
        <item x="120"/>
        <item x="145"/>
        <item x="4"/>
        <item x="88"/>
        <item x="183"/>
        <item x="299"/>
        <item x="354"/>
        <item x="124"/>
        <item x="326"/>
        <item x="62"/>
        <item x="109"/>
        <item x="147"/>
        <item x="177"/>
        <item x="257"/>
        <item x="254"/>
        <item x="26"/>
        <item x="211"/>
        <item x="327"/>
        <item x="289"/>
        <item x="239"/>
        <item x="43"/>
        <item x="108"/>
        <item x="227"/>
        <item x="208"/>
        <item x="17"/>
        <item x="220"/>
        <item x="15"/>
        <item x="288"/>
        <item x="338"/>
        <item x="260"/>
        <item x="262"/>
        <item x="28"/>
        <item x="352"/>
        <item x="273"/>
        <item x="194"/>
        <item x="267"/>
        <item x="34"/>
        <item x="266"/>
        <item x="202"/>
        <item x="265"/>
        <item x="115"/>
        <item x="58"/>
        <item x="236"/>
        <item x="55"/>
        <item x="324"/>
        <item x="67"/>
        <item x="349"/>
        <item x="300"/>
        <item x="316"/>
        <item x="82"/>
        <item x="137"/>
        <item x="1"/>
        <item x="156"/>
        <item x="225"/>
        <item x="302"/>
        <item x="146"/>
        <item x="70"/>
        <item t="default"/>
      </items>
    </pivotField>
    <pivotField showAll="0">
      <items count="5">
        <item h="1" x="1"/>
        <item x="0"/>
        <item h="1" x="2"/>
        <item h="1" x="3"/>
        <item t="default"/>
      </items>
    </pivotField>
    <pivotField showAll="0"/>
    <pivotField showAll="0"/>
    <pivotField axis="axisRow" showAll="0" sortType="descending">
      <items count="7">
        <item x="3"/>
        <item x="0"/>
        <item x="1"/>
        <item x="4"/>
        <item x="2"/>
        <item x="5"/>
        <item t="default"/>
      </items>
      <autoSortScope>
        <pivotArea dataOnly="0" outline="0" fieldPosition="0">
          <references count="1">
            <reference field="4294967294" count="1" selected="0">
              <x v="0"/>
            </reference>
          </references>
        </pivotArea>
      </autoSortScope>
    </pivotField>
    <pivotField showAll="0">
      <items count="49">
        <item x="0"/>
        <item x="24"/>
        <item x="25"/>
        <item x="40"/>
        <item x="21"/>
        <item x="7"/>
        <item x="18"/>
        <item x="27"/>
        <item x="12"/>
        <item x="11"/>
        <item x="38"/>
        <item x="23"/>
        <item x="9"/>
        <item x="30"/>
        <item x="6"/>
        <item x="34"/>
        <item x="45"/>
        <item x="22"/>
        <item x="43"/>
        <item x="31"/>
        <item x="5"/>
        <item x="2"/>
        <item x="14"/>
        <item x="32"/>
        <item x="44"/>
        <item x="35"/>
        <item x="3"/>
        <item x="37"/>
        <item x="42"/>
        <item x="19"/>
        <item x="16"/>
        <item x="36"/>
        <item x="15"/>
        <item x="46"/>
        <item x="13"/>
        <item x="26"/>
        <item x="47"/>
        <item x="1"/>
        <item x="33"/>
        <item x="29"/>
        <item x="4"/>
        <item x="17"/>
        <item x="28"/>
        <item x="39"/>
        <item x="8"/>
        <item x="41"/>
        <item x="10"/>
        <item x="20"/>
        <item t="default"/>
      </items>
    </pivotField>
    <pivotField showAll="0"/>
    <pivotField numFmtId="166" showAll="0"/>
    <pivotField numFmtId="166" showAll="0"/>
    <pivotField numFmtId="43" showAll="0"/>
    <pivotField numFmtId="166" showAll="0"/>
    <pivotField numFmtId="166" showAll="0"/>
    <pivotField numFmtId="166" showAll="0"/>
    <pivotField dataField="1" numFmtId="43" showAll="0"/>
    <pivotField showAll="0"/>
    <pivotField showAll="0"/>
    <pivotField showAll="0"/>
    <pivotField showAll="0" defaultSubtotal="0"/>
    <pivotField showAll="0" defaultSubtotal="0">
      <items count="4">
        <item x="0"/>
        <item x="1"/>
        <item x="2"/>
        <item x="3"/>
      </items>
    </pivotField>
  </pivotFields>
  <rowFields count="1">
    <field x="5"/>
  </rowFields>
  <rowItems count="7">
    <i>
      <x/>
    </i>
    <i>
      <x v="2"/>
    </i>
    <i>
      <x v="4"/>
    </i>
    <i>
      <x v="1"/>
    </i>
    <i>
      <x v="5"/>
    </i>
    <i>
      <x v="3"/>
    </i>
    <i t="grand">
      <x/>
    </i>
  </rowItems>
  <colItems count="1">
    <i/>
  </colItems>
  <dataFields count="1">
    <dataField name="Average of Profit_Margin_%" fld="14" subtotal="average" baseField="5" baseItem="0" numFmtId="43"/>
  </dataFields>
  <formats count="1">
    <format dxfId="250">
      <pivotArea collapsedLevelsAreSubtotals="1" fieldPosition="0">
        <references count="1">
          <reference field="5" count="1">
            <x v="0"/>
          </reference>
        </references>
      </pivotArea>
    </format>
  </formats>
  <chartFormats count="7">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5"/>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2"/>
          </reference>
        </references>
      </pivotArea>
    </chartFormat>
    <chartFormat chart="3" format="6">
      <pivotArea type="data" outline="0" fieldPosition="0">
        <references count="2">
          <reference field="4294967294" count="1" selected="0">
            <x v="0"/>
          </reference>
          <reference field="5" count="1" selected="0">
            <x v="4"/>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1" type="dateBetween" evalOrder="-1" id="280" name="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D47107-8387-4A90-9A93-620AE1339409}" autoFormatId="16" applyNumberFormats="0" applyBorderFormats="0" applyFontFormats="0" applyPatternFormats="0" applyAlignmentFormats="0" applyWidthHeightFormats="0">
  <queryTableRefresh nextId="19">
    <queryTableFields count="18">
      <queryTableField id="1" name="Order_ID" tableColumnId="1"/>
      <queryTableField id="2" name="Date" tableColumnId="2"/>
      <queryTableField id="3" name="Region" tableColumnId="3"/>
      <queryTableField id="4" name="City" tableColumnId="4"/>
      <queryTableField id="5" name="Salesperson" tableColumnId="5"/>
      <queryTableField id="6" name="Product_Category" tableColumnId="6"/>
      <queryTableField id="7" name="Product_Name" tableColumnId="7"/>
      <queryTableField id="8" name="Units_Sold" tableColumnId="8"/>
      <queryTableField id="9" name="Unit_Price" tableColumnId="9"/>
      <queryTableField id="10" name="Revenue" tableColumnId="10"/>
      <queryTableField id="11" name="Discount_%" tableColumnId="11"/>
      <queryTableField id="12" name="Net_Revenue" tableColumnId="12"/>
      <queryTableField id="13" name="COGS" tableColumnId="13"/>
      <queryTableField id="14" name="Profit" tableColumnId="14"/>
      <queryTableField id="15" name="Profit_Margin_%" tableColumnId="15"/>
      <queryTableField id="16" name="Customer_Segment" tableColumnId="16"/>
      <queryTableField id="17" name="Payment_Method" tableColumnId="17"/>
      <queryTableField id="18" name="Return_Flag"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519AF5-663F-481D-916E-F63C0CBF1D59}" sourceName="Region">
  <pivotTables>
    <pivotTable tabId="3" name="PivotTable1"/>
    <pivotTable tabId="1" name="PivotTable6"/>
    <pivotTable tabId="4" name="PivotTable3"/>
    <pivotTable tabId="5" name="PivotTable4"/>
    <pivotTable tabId="6" name="PivotTable5"/>
    <pivotTable tabId="6" name="PivotTable7"/>
  </pivotTables>
  <data>
    <tabular pivotCacheId="364550494">
      <items count="4">
        <i x="1"/>
        <i x="0"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FA2C2B-0F21-4ED9-9F94-16B9F7BC01BF}" cache="Slicer_Region" caption="Region"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3849E3-0991-495E-8504-959E797E55B4}" name="Sales_Data" displayName="Sales_Data" ref="A1:R501" tableType="queryTable" totalsRowShown="0" headerRowDxfId="254">
  <autoFilter ref="A1:R501" xr:uid="{A63849E3-0991-495E-8504-959E797E55B4}"/>
  <sortState xmlns:xlrd2="http://schemas.microsoft.com/office/spreadsheetml/2017/richdata2" ref="A2:R501">
    <sortCondition descending="1" ref="J1:J501"/>
  </sortState>
  <tableColumns count="18">
    <tableColumn id="1" xr3:uid="{6A6F3D08-6B0D-49E2-8575-9A014A582BC7}" uniqueName="1" name="Order_ID" queryTableFieldId="1" dataDxfId="269"/>
    <tableColumn id="2" xr3:uid="{B32A9C2C-F8A5-4A13-B37A-4E83EBF2BEF6}" uniqueName="2" name="Date" queryTableFieldId="2" dataDxfId="261"/>
    <tableColumn id="3" xr3:uid="{C5313B93-2BA9-44CC-8C6F-4EC0A0A243E0}" uniqueName="3" name="Region" queryTableFieldId="3" dataDxfId="268"/>
    <tableColumn id="4" xr3:uid="{B5B57A81-F8F2-4F07-AAB4-115F7557593D}" uniqueName="4" name="City" queryTableFieldId="4" dataDxfId="267"/>
    <tableColumn id="5" xr3:uid="{99E14075-FB81-4D6B-BFC2-F72BB567A0BF}" uniqueName="5" name="Salesperson" queryTableFieldId="5" dataDxfId="266"/>
    <tableColumn id="6" xr3:uid="{224327C1-6960-424E-AA4A-8BC163B1D34C}" uniqueName="6" name="Product_Category" queryTableFieldId="6" dataDxfId="265"/>
    <tableColumn id="7" xr3:uid="{46A5C866-E8D7-4016-8194-32784DCED17D}" uniqueName="7" name="Product_Name" queryTableFieldId="7" dataDxfId="264"/>
    <tableColumn id="8" xr3:uid="{EE680EA4-9E21-46C6-ADAB-9D0B07339BF5}" uniqueName="8" name="Units_Sold" queryTableFieldId="8"/>
    <tableColumn id="9" xr3:uid="{EF55C2FF-A4E5-4F72-B7AB-CBBBDC707F11}" uniqueName="9" name="Unit_Price" queryTableFieldId="9" dataDxfId="260"/>
    <tableColumn id="10" xr3:uid="{0A829705-26D0-4AD8-8DB7-D7C1145F7D3B}" uniqueName="10" name="Revenue" queryTableFieldId="10" dataDxfId="256"/>
    <tableColumn id="11" xr3:uid="{9F9C3C08-60D9-428A-A6F0-C5F8EA7AE22F}" uniqueName="11" name="Discount_%" queryTableFieldId="11" dataCellStyle="Comma"/>
    <tableColumn id="12" xr3:uid="{F3FE27A9-7BB2-4A2D-AE6F-26B29A104D85}" uniqueName="12" name="Net_Revenue" queryTableFieldId="12" dataDxfId="255"/>
    <tableColumn id="13" xr3:uid="{523ED7F6-D043-4310-B565-3367D09140B6}" uniqueName="13" name="COGS" queryTableFieldId="13" dataDxfId="259"/>
    <tableColumn id="14" xr3:uid="{810A6050-0179-4034-968E-6B995E244142}" uniqueName="14" name="Profit" queryTableFieldId="14" dataDxfId="258"/>
    <tableColumn id="15" xr3:uid="{7BDC66E0-4625-4273-8FE1-482ADED6A6C2}" uniqueName="15" name="Profit_Margin_%" queryTableFieldId="15" dataCellStyle="Comma"/>
    <tableColumn id="16" xr3:uid="{2CA4ABAC-D7FA-4B45-9CA3-FD1D1D53E21A}" uniqueName="16" name="Customer_Segment" queryTableFieldId="16" dataDxfId="257"/>
    <tableColumn id="17" xr3:uid="{4441FC04-B112-44FD-9F4E-7FC22AC22805}" uniqueName="17" name="Payment_Method" queryTableFieldId="17" dataDxfId="263"/>
    <tableColumn id="18" xr3:uid="{C09AEA3D-337A-41CC-A039-B6E89074F803}" uniqueName="18" name="Return_Flag" queryTableFieldId="18" dataDxfId="26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CA44441-1881-4113-8D46-3DF0495F9F08}" sourceName="Date">
  <pivotTables>
    <pivotTable tabId="3" name="PivotTable1"/>
    <pivotTable tabId="1" name="PivotTable6"/>
    <pivotTable tabId="4" name="PivotTable3"/>
    <pivotTable tabId="5" name="PivotTable4"/>
    <pivotTable tabId="6" name="PivotTable5"/>
    <pivotTable tabId="6" name="PivotTable7"/>
  </pivotTables>
  <state minimalRefreshVersion="6" lastRefreshVersion="6" pivotCacheId="364550494" filterType="dateBetween">
    <selection startDate="2023-04-01T00:00:00" endDate="2023-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B72CF33-F55C-4299-B3E5-91FCA027C7F1}" cache="NativeTimeline_Date" caption="Date" level="1" selectionLevel="1"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7403-DB4D-4029-8D03-1A95C7D9399E}">
  <dimension ref="A1:R501"/>
  <sheetViews>
    <sheetView tabSelected="1" workbookViewId="0">
      <selection activeCell="H14" sqref="H14"/>
    </sheetView>
  </sheetViews>
  <sheetFormatPr defaultRowHeight="15" x14ac:dyDescent="0.25"/>
  <cols>
    <col min="1" max="1" width="11.28515625" bestFit="1" customWidth="1"/>
    <col min="2" max="2" width="13.7109375" style="2" customWidth="1"/>
    <col min="3" max="3" width="14.85546875" customWidth="1"/>
    <col min="4" max="4" width="8.85546875" customWidth="1"/>
    <col min="5" max="5" width="14" bestFit="1" customWidth="1"/>
    <col min="6" max="6" width="21.7109375" customWidth="1"/>
    <col min="7" max="7" width="20.140625" customWidth="1"/>
    <col min="8" max="8" width="15.42578125" customWidth="1"/>
    <col min="9" max="9" width="15.7109375" style="4" customWidth="1"/>
    <col min="10" max="10" width="15" style="4" customWidth="1"/>
    <col min="11" max="11" width="14.42578125" style="7" bestFit="1" customWidth="1"/>
    <col min="12" max="12" width="15.5703125" style="4" bestFit="1" customWidth="1"/>
    <col min="13" max="13" width="14.5703125" style="4" customWidth="1"/>
    <col min="14" max="14" width="14" style="4" customWidth="1"/>
    <col min="15" max="15" width="19.140625" style="6" bestFit="1" customWidth="1"/>
    <col min="16" max="16" width="21" bestFit="1" customWidth="1"/>
    <col min="17" max="17" width="19.5703125" bestFit="1" customWidth="1"/>
    <col min="18" max="18" width="13.85546875" bestFit="1" customWidth="1"/>
  </cols>
  <sheetData>
    <row r="1" spans="1:18" s="18" customFormat="1" x14ac:dyDescent="0.25">
      <c r="A1" s="20" t="s">
        <v>0</v>
      </c>
      <c r="B1" s="21" t="s">
        <v>1</v>
      </c>
      <c r="C1" s="20" t="s">
        <v>2</v>
      </c>
      <c r="D1" s="20" t="s">
        <v>3</v>
      </c>
      <c r="E1" s="20" t="s">
        <v>4</v>
      </c>
      <c r="F1" s="20" t="s">
        <v>5</v>
      </c>
      <c r="G1" s="20" t="s">
        <v>6</v>
      </c>
      <c r="H1" s="22" t="s">
        <v>7</v>
      </c>
      <c r="I1" s="23" t="s">
        <v>8</v>
      </c>
      <c r="J1" s="23" t="s">
        <v>9</v>
      </c>
      <c r="K1" s="24" t="s">
        <v>10</v>
      </c>
      <c r="L1" s="23" t="s">
        <v>11</v>
      </c>
      <c r="M1" s="23" t="s">
        <v>12</v>
      </c>
      <c r="N1" s="23" t="s">
        <v>13</v>
      </c>
      <c r="O1" s="25" t="s">
        <v>14</v>
      </c>
      <c r="P1" s="20" t="s">
        <v>15</v>
      </c>
      <c r="Q1" s="20" t="s">
        <v>16</v>
      </c>
      <c r="R1" s="20" t="s">
        <v>17</v>
      </c>
    </row>
    <row r="2" spans="1:18" x14ac:dyDescent="0.25">
      <c r="A2" s="1" t="s">
        <v>542</v>
      </c>
      <c r="B2" s="2">
        <v>45474</v>
      </c>
      <c r="C2" s="1" t="s">
        <v>51</v>
      </c>
      <c r="D2" s="1" t="s">
        <v>84</v>
      </c>
      <c r="E2" s="1" t="s">
        <v>28</v>
      </c>
      <c r="F2" s="1" t="s">
        <v>60</v>
      </c>
      <c r="G2" s="1" t="s">
        <v>89</v>
      </c>
      <c r="H2">
        <v>49</v>
      </c>
      <c r="I2" s="4">
        <v>50998.43</v>
      </c>
      <c r="J2" s="4">
        <v>2498923.0699999998</v>
      </c>
      <c r="K2" s="6">
        <v>10</v>
      </c>
      <c r="L2" s="4">
        <v>2249030.7599999998</v>
      </c>
      <c r="M2" s="4">
        <v>1093093.44</v>
      </c>
      <c r="N2" s="4">
        <v>1155937.32</v>
      </c>
      <c r="O2" s="6">
        <v>51.4</v>
      </c>
      <c r="P2" s="1" t="s">
        <v>24</v>
      </c>
      <c r="Q2" s="1" t="s">
        <v>63</v>
      </c>
      <c r="R2" s="1" t="s">
        <v>26</v>
      </c>
    </row>
    <row r="3" spans="1:18" x14ac:dyDescent="0.25">
      <c r="A3" s="1" t="s">
        <v>118</v>
      </c>
      <c r="B3" s="2">
        <v>45305</v>
      </c>
      <c r="C3" s="1" t="s">
        <v>58</v>
      </c>
      <c r="D3" s="1" t="s">
        <v>119</v>
      </c>
      <c r="E3" s="1" t="s">
        <v>120</v>
      </c>
      <c r="F3" s="1" t="s">
        <v>60</v>
      </c>
      <c r="G3" s="1" t="s">
        <v>121</v>
      </c>
      <c r="H3">
        <v>45</v>
      </c>
      <c r="I3" s="4">
        <v>54312.57</v>
      </c>
      <c r="J3" s="4">
        <v>2444065.65</v>
      </c>
      <c r="K3" s="6">
        <v>20</v>
      </c>
      <c r="L3" s="4">
        <v>1955252.52</v>
      </c>
      <c r="M3" s="4">
        <v>803234.24</v>
      </c>
      <c r="N3" s="4">
        <v>1152018.28</v>
      </c>
      <c r="O3" s="6">
        <v>58.92</v>
      </c>
      <c r="P3" s="1" t="s">
        <v>31</v>
      </c>
      <c r="Q3" s="1" t="s">
        <v>25</v>
      </c>
      <c r="R3" s="1" t="s">
        <v>26</v>
      </c>
    </row>
    <row r="4" spans="1:18" x14ac:dyDescent="0.25">
      <c r="A4" s="1" t="s">
        <v>505</v>
      </c>
      <c r="B4" s="2">
        <v>45347</v>
      </c>
      <c r="C4" s="1" t="s">
        <v>19</v>
      </c>
      <c r="D4" s="1" t="s">
        <v>166</v>
      </c>
      <c r="E4" s="1" t="s">
        <v>85</v>
      </c>
      <c r="F4" s="1" t="s">
        <v>60</v>
      </c>
      <c r="G4" s="1" t="s">
        <v>61</v>
      </c>
      <c r="H4">
        <v>39</v>
      </c>
      <c r="I4" s="4">
        <v>59572.33</v>
      </c>
      <c r="J4" s="4">
        <v>2323320.87</v>
      </c>
      <c r="K4" s="6">
        <v>15</v>
      </c>
      <c r="L4" s="4">
        <v>1974822.74</v>
      </c>
      <c r="M4" s="4">
        <v>890980.85</v>
      </c>
      <c r="N4" s="4">
        <v>1083841.8899999999</v>
      </c>
      <c r="O4" s="6">
        <v>54.88</v>
      </c>
      <c r="P4" s="1" t="s">
        <v>31</v>
      </c>
      <c r="Q4" s="1" t="s">
        <v>106</v>
      </c>
      <c r="R4" s="1" t="s">
        <v>26</v>
      </c>
    </row>
    <row r="5" spans="1:18" x14ac:dyDescent="0.25">
      <c r="A5" s="1" t="s">
        <v>130</v>
      </c>
      <c r="B5" s="2">
        <v>45537</v>
      </c>
      <c r="C5" s="1" t="s">
        <v>34</v>
      </c>
      <c r="D5" s="1" t="s">
        <v>35</v>
      </c>
      <c r="E5" s="1" t="s">
        <v>80</v>
      </c>
      <c r="F5" s="1" t="s">
        <v>60</v>
      </c>
      <c r="G5" s="1" t="s">
        <v>131</v>
      </c>
      <c r="H5">
        <v>38</v>
      </c>
      <c r="I5" s="4">
        <v>57782.03</v>
      </c>
      <c r="J5" s="4">
        <v>2195717.14</v>
      </c>
      <c r="K5" s="6">
        <v>10</v>
      </c>
      <c r="L5" s="4">
        <v>1976145.43</v>
      </c>
      <c r="M5" s="4">
        <v>813138.71</v>
      </c>
      <c r="N5" s="4">
        <v>1163006.72</v>
      </c>
      <c r="O5" s="6">
        <v>58.85</v>
      </c>
      <c r="P5" s="1" t="s">
        <v>62</v>
      </c>
      <c r="Q5" s="1" t="s">
        <v>38</v>
      </c>
      <c r="R5" s="1" t="s">
        <v>26</v>
      </c>
    </row>
    <row r="6" spans="1:18" x14ac:dyDescent="0.25">
      <c r="A6" s="1" t="s">
        <v>560</v>
      </c>
      <c r="B6" s="2">
        <v>45565</v>
      </c>
      <c r="C6" s="1" t="s">
        <v>58</v>
      </c>
      <c r="D6" s="1" t="s">
        <v>126</v>
      </c>
      <c r="E6" s="1" t="s">
        <v>104</v>
      </c>
      <c r="F6" s="1" t="s">
        <v>60</v>
      </c>
      <c r="G6" s="1" t="s">
        <v>89</v>
      </c>
      <c r="H6">
        <v>42</v>
      </c>
      <c r="I6" s="4">
        <v>50308.93</v>
      </c>
      <c r="J6" s="4">
        <v>2112975.06</v>
      </c>
      <c r="K6" s="6">
        <v>25</v>
      </c>
      <c r="L6" s="4">
        <v>1584731.29</v>
      </c>
      <c r="M6" s="4">
        <v>866805.06</v>
      </c>
      <c r="N6" s="4">
        <v>717926.23</v>
      </c>
      <c r="O6" s="6">
        <v>45.3</v>
      </c>
      <c r="P6" s="1" t="s">
        <v>31</v>
      </c>
      <c r="Q6" s="1" t="s">
        <v>38</v>
      </c>
      <c r="R6" s="1" t="s">
        <v>180</v>
      </c>
    </row>
    <row r="7" spans="1:18" x14ac:dyDescent="0.25">
      <c r="A7" s="1" t="s">
        <v>596</v>
      </c>
      <c r="B7" s="2">
        <v>45019</v>
      </c>
      <c r="C7" s="1" t="s">
        <v>34</v>
      </c>
      <c r="D7" s="1" t="s">
        <v>133</v>
      </c>
      <c r="E7" s="1" t="s">
        <v>85</v>
      </c>
      <c r="F7" s="1" t="s">
        <v>60</v>
      </c>
      <c r="G7" s="1" t="s">
        <v>188</v>
      </c>
      <c r="H7">
        <v>38</v>
      </c>
      <c r="I7" s="4">
        <v>53879.76</v>
      </c>
      <c r="J7" s="4">
        <v>2047430.88</v>
      </c>
      <c r="K7" s="6">
        <v>5</v>
      </c>
      <c r="L7" s="4">
        <v>1945059.34</v>
      </c>
      <c r="M7" s="4">
        <v>1293006.47</v>
      </c>
      <c r="N7" s="4">
        <v>652052.87</v>
      </c>
      <c r="O7" s="6">
        <v>33.520000000000003</v>
      </c>
      <c r="P7" s="1" t="s">
        <v>44</v>
      </c>
      <c r="Q7" s="1" t="s">
        <v>38</v>
      </c>
      <c r="R7" s="1" t="s">
        <v>26</v>
      </c>
    </row>
    <row r="8" spans="1:18" x14ac:dyDescent="0.25">
      <c r="A8" s="1" t="s">
        <v>608</v>
      </c>
      <c r="B8" s="2">
        <v>45557</v>
      </c>
      <c r="C8" s="1" t="s">
        <v>51</v>
      </c>
      <c r="D8" s="1" t="s">
        <v>88</v>
      </c>
      <c r="E8" s="1" t="s">
        <v>85</v>
      </c>
      <c r="F8" s="1" t="s">
        <v>60</v>
      </c>
      <c r="G8" s="1" t="s">
        <v>89</v>
      </c>
      <c r="H8">
        <v>41</v>
      </c>
      <c r="I8" s="4">
        <v>47966.57</v>
      </c>
      <c r="J8" s="4">
        <v>1966629.37</v>
      </c>
      <c r="K8" s="6">
        <v>25</v>
      </c>
      <c r="L8" s="4">
        <v>1474972.03</v>
      </c>
      <c r="M8" s="4">
        <v>965252.58</v>
      </c>
      <c r="N8" s="4">
        <v>509719.45</v>
      </c>
      <c r="O8" s="6">
        <v>34.56</v>
      </c>
      <c r="P8" s="1" t="s">
        <v>62</v>
      </c>
      <c r="Q8" s="1" t="s">
        <v>32</v>
      </c>
      <c r="R8" s="1" t="s">
        <v>180</v>
      </c>
    </row>
    <row r="9" spans="1:18" x14ac:dyDescent="0.25">
      <c r="A9" s="1" t="s">
        <v>57</v>
      </c>
      <c r="B9" s="2">
        <v>45438</v>
      </c>
      <c r="C9" s="1" t="s">
        <v>58</v>
      </c>
      <c r="D9" s="1" t="s">
        <v>59</v>
      </c>
      <c r="E9" s="1" t="s">
        <v>53</v>
      </c>
      <c r="F9" s="1" t="s">
        <v>60</v>
      </c>
      <c r="G9" s="1" t="s">
        <v>61</v>
      </c>
      <c r="H9">
        <v>37</v>
      </c>
      <c r="I9" s="4">
        <v>52680.959999999999</v>
      </c>
      <c r="J9" s="4">
        <v>1949195.52</v>
      </c>
      <c r="K9" s="6">
        <v>10</v>
      </c>
      <c r="L9" s="4">
        <v>1754275.97</v>
      </c>
      <c r="M9" s="4">
        <v>813612.08</v>
      </c>
      <c r="N9" s="4">
        <v>940663.89</v>
      </c>
      <c r="O9" s="6">
        <v>53.62</v>
      </c>
      <c r="P9" s="1" t="s">
        <v>62</v>
      </c>
      <c r="Q9" s="1" t="s">
        <v>63</v>
      </c>
      <c r="R9" s="1" t="s">
        <v>26</v>
      </c>
    </row>
    <row r="10" spans="1:18" x14ac:dyDescent="0.25">
      <c r="A10" s="1" t="s">
        <v>207</v>
      </c>
      <c r="B10" s="2">
        <v>45162</v>
      </c>
      <c r="C10" s="1" t="s">
        <v>58</v>
      </c>
      <c r="D10" s="1" t="s">
        <v>59</v>
      </c>
      <c r="E10" s="1" t="s">
        <v>53</v>
      </c>
      <c r="F10" s="1" t="s">
        <v>60</v>
      </c>
      <c r="G10" s="1" t="s">
        <v>89</v>
      </c>
      <c r="H10">
        <v>39</v>
      </c>
      <c r="I10" s="4">
        <v>44914.19</v>
      </c>
      <c r="J10" s="4">
        <v>1751653.41</v>
      </c>
      <c r="K10" s="6">
        <v>10</v>
      </c>
      <c r="L10" s="4">
        <v>1576488.07</v>
      </c>
      <c r="M10" s="4">
        <v>997479.15</v>
      </c>
      <c r="N10" s="4">
        <v>579008.92000000004</v>
      </c>
      <c r="O10" s="6">
        <v>36.729999999999997</v>
      </c>
      <c r="P10" s="1" t="s">
        <v>31</v>
      </c>
      <c r="Q10" s="1" t="s">
        <v>38</v>
      </c>
      <c r="R10" s="1" t="s">
        <v>26</v>
      </c>
    </row>
    <row r="11" spans="1:18" x14ac:dyDescent="0.25">
      <c r="A11" s="1" t="s">
        <v>407</v>
      </c>
      <c r="B11" s="2">
        <v>45465</v>
      </c>
      <c r="C11" s="1" t="s">
        <v>51</v>
      </c>
      <c r="D11" s="1" t="s">
        <v>84</v>
      </c>
      <c r="E11" s="1" t="s">
        <v>80</v>
      </c>
      <c r="F11" s="1" t="s">
        <v>60</v>
      </c>
      <c r="G11" s="1" t="s">
        <v>89</v>
      </c>
      <c r="H11">
        <v>38</v>
      </c>
      <c r="I11" s="4">
        <v>42518.02</v>
      </c>
      <c r="J11" s="4">
        <v>1615684.76</v>
      </c>
      <c r="K11" s="6">
        <v>5</v>
      </c>
      <c r="L11" s="4">
        <v>1534900.52</v>
      </c>
      <c r="M11" s="4">
        <v>970532.87</v>
      </c>
      <c r="N11" s="4">
        <v>564367.65</v>
      </c>
      <c r="O11" s="6">
        <v>36.770000000000003</v>
      </c>
      <c r="P11" s="1" t="s">
        <v>44</v>
      </c>
      <c r="Q11" s="1" t="s">
        <v>56</v>
      </c>
      <c r="R11" s="1" t="s">
        <v>26</v>
      </c>
    </row>
    <row r="12" spans="1:18" x14ac:dyDescent="0.25">
      <c r="A12" s="1" t="s">
        <v>253</v>
      </c>
      <c r="B12" s="2">
        <v>45332</v>
      </c>
      <c r="C12" s="1" t="s">
        <v>51</v>
      </c>
      <c r="D12" s="1" t="s">
        <v>52</v>
      </c>
      <c r="E12" s="1" t="s">
        <v>72</v>
      </c>
      <c r="F12" s="1" t="s">
        <v>60</v>
      </c>
      <c r="G12" s="1" t="s">
        <v>61</v>
      </c>
      <c r="H12">
        <v>29</v>
      </c>
      <c r="I12" s="4">
        <v>53170.080000000002</v>
      </c>
      <c r="J12" s="4">
        <v>1541932.32</v>
      </c>
      <c r="K12" s="6">
        <v>0</v>
      </c>
      <c r="L12" s="4">
        <v>1541932.32</v>
      </c>
      <c r="M12" s="4">
        <v>808695.81</v>
      </c>
      <c r="N12" s="4">
        <v>733236.51</v>
      </c>
      <c r="O12" s="6">
        <v>47.55</v>
      </c>
      <c r="P12" s="1" t="s">
        <v>31</v>
      </c>
      <c r="Q12" s="1" t="s">
        <v>38</v>
      </c>
      <c r="R12" s="1" t="s">
        <v>26</v>
      </c>
    </row>
    <row r="13" spans="1:18" x14ac:dyDescent="0.25">
      <c r="A13" s="1" t="s">
        <v>591</v>
      </c>
      <c r="B13" s="2">
        <v>45395</v>
      </c>
      <c r="C13" s="1" t="s">
        <v>51</v>
      </c>
      <c r="D13" s="1" t="s">
        <v>98</v>
      </c>
      <c r="E13" s="1" t="s">
        <v>53</v>
      </c>
      <c r="F13" s="1" t="s">
        <v>60</v>
      </c>
      <c r="G13" s="1" t="s">
        <v>188</v>
      </c>
      <c r="H13">
        <v>29</v>
      </c>
      <c r="I13" s="4">
        <v>52134.04</v>
      </c>
      <c r="J13" s="4">
        <v>1511887.16</v>
      </c>
      <c r="K13" s="6">
        <v>15</v>
      </c>
      <c r="L13" s="4">
        <v>1285104.0900000001</v>
      </c>
      <c r="M13" s="4">
        <v>779234.19</v>
      </c>
      <c r="N13" s="4">
        <v>505869.9</v>
      </c>
      <c r="O13" s="6">
        <v>39.36</v>
      </c>
      <c r="P13" s="1" t="s">
        <v>49</v>
      </c>
      <c r="Q13" s="1" t="s">
        <v>32</v>
      </c>
      <c r="R13" s="1" t="s">
        <v>26</v>
      </c>
    </row>
    <row r="14" spans="1:18" x14ac:dyDescent="0.25">
      <c r="A14" s="1" t="s">
        <v>187</v>
      </c>
      <c r="B14" s="2">
        <v>45526</v>
      </c>
      <c r="C14" s="1" t="s">
        <v>34</v>
      </c>
      <c r="D14" s="1" t="s">
        <v>71</v>
      </c>
      <c r="E14" s="1" t="s">
        <v>85</v>
      </c>
      <c r="F14" s="1" t="s">
        <v>60</v>
      </c>
      <c r="G14" s="1" t="s">
        <v>188</v>
      </c>
      <c r="H14">
        <v>34</v>
      </c>
      <c r="I14" s="4">
        <v>39369.360000000001</v>
      </c>
      <c r="J14" s="4">
        <v>1338558.24</v>
      </c>
      <c r="K14" s="6">
        <v>10</v>
      </c>
      <c r="L14" s="4">
        <v>1204702.42</v>
      </c>
      <c r="M14" s="4">
        <v>547473.09</v>
      </c>
      <c r="N14" s="4">
        <v>657229.32999999996</v>
      </c>
      <c r="O14" s="6">
        <v>54.56</v>
      </c>
      <c r="P14" s="1" t="s">
        <v>62</v>
      </c>
      <c r="Q14" s="1" t="s">
        <v>63</v>
      </c>
      <c r="R14" s="1" t="s">
        <v>26</v>
      </c>
    </row>
    <row r="15" spans="1:18" x14ac:dyDescent="0.25">
      <c r="A15" s="1" t="s">
        <v>346</v>
      </c>
      <c r="B15" s="2">
        <v>45181</v>
      </c>
      <c r="C15" s="1" t="s">
        <v>58</v>
      </c>
      <c r="D15" s="1" t="s">
        <v>119</v>
      </c>
      <c r="E15" s="1" t="s">
        <v>65</v>
      </c>
      <c r="F15" s="1" t="s">
        <v>60</v>
      </c>
      <c r="G15" s="1" t="s">
        <v>347</v>
      </c>
      <c r="H15">
        <v>35</v>
      </c>
      <c r="I15" s="4">
        <v>35954.14</v>
      </c>
      <c r="J15" s="4">
        <v>1258394.8999999999</v>
      </c>
      <c r="K15" s="6">
        <v>0</v>
      </c>
      <c r="L15" s="4">
        <v>1258394.8999999999</v>
      </c>
      <c r="M15" s="4">
        <v>544646.93999999994</v>
      </c>
      <c r="N15" s="4">
        <v>713747.96</v>
      </c>
      <c r="O15" s="6">
        <v>56.72</v>
      </c>
      <c r="P15" s="1" t="s">
        <v>44</v>
      </c>
      <c r="Q15" s="1" t="s">
        <v>106</v>
      </c>
      <c r="R15" s="1" t="s">
        <v>26</v>
      </c>
    </row>
    <row r="16" spans="1:18" x14ac:dyDescent="0.25">
      <c r="A16" s="1" t="s">
        <v>362</v>
      </c>
      <c r="B16" s="2">
        <v>45047</v>
      </c>
      <c r="C16" s="1" t="s">
        <v>51</v>
      </c>
      <c r="D16" s="1" t="s">
        <v>84</v>
      </c>
      <c r="E16" s="1" t="s">
        <v>139</v>
      </c>
      <c r="F16" s="1" t="s">
        <v>60</v>
      </c>
      <c r="G16" s="1" t="s">
        <v>184</v>
      </c>
      <c r="H16">
        <v>23</v>
      </c>
      <c r="I16" s="4">
        <v>51842.22</v>
      </c>
      <c r="J16" s="4">
        <v>1192371.06</v>
      </c>
      <c r="K16" s="6">
        <v>0</v>
      </c>
      <c r="L16" s="4">
        <v>1192371.06</v>
      </c>
      <c r="M16" s="4">
        <v>634008.69999999995</v>
      </c>
      <c r="N16" s="4">
        <v>558362.36</v>
      </c>
      <c r="O16" s="6">
        <v>46.83</v>
      </c>
      <c r="P16" s="1" t="s">
        <v>49</v>
      </c>
      <c r="Q16" s="1" t="s">
        <v>106</v>
      </c>
      <c r="R16" s="1" t="s">
        <v>26</v>
      </c>
    </row>
    <row r="17" spans="1:18" x14ac:dyDescent="0.25">
      <c r="A17" s="1" t="s">
        <v>262</v>
      </c>
      <c r="B17" s="2">
        <v>45266</v>
      </c>
      <c r="C17" s="1" t="s">
        <v>58</v>
      </c>
      <c r="D17" s="1" t="s">
        <v>59</v>
      </c>
      <c r="E17" s="1" t="s">
        <v>139</v>
      </c>
      <c r="F17" s="1" t="s">
        <v>60</v>
      </c>
      <c r="G17" s="1" t="s">
        <v>61</v>
      </c>
      <c r="H17">
        <v>23</v>
      </c>
      <c r="I17" s="4">
        <v>51838.6</v>
      </c>
      <c r="J17" s="4">
        <v>1192287.8</v>
      </c>
      <c r="K17" s="6">
        <v>0</v>
      </c>
      <c r="L17" s="4">
        <v>1192287.8</v>
      </c>
      <c r="M17" s="4">
        <v>786599.34</v>
      </c>
      <c r="N17" s="4">
        <v>405688.46</v>
      </c>
      <c r="O17" s="6">
        <v>34.03</v>
      </c>
      <c r="P17" s="1" t="s">
        <v>44</v>
      </c>
      <c r="Q17" s="1" t="s">
        <v>56</v>
      </c>
      <c r="R17" s="1" t="s">
        <v>26</v>
      </c>
    </row>
    <row r="18" spans="1:18" x14ac:dyDescent="0.25">
      <c r="A18" s="1" t="s">
        <v>323</v>
      </c>
      <c r="B18" s="2">
        <v>44973</v>
      </c>
      <c r="C18" s="1" t="s">
        <v>58</v>
      </c>
      <c r="D18" s="1" t="s">
        <v>150</v>
      </c>
      <c r="E18" s="1" t="s">
        <v>42</v>
      </c>
      <c r="F18" s="1" t="s">
        <v>60</v>
      </c>
      <c r="G18" s="1" t="s">
        <v>184</v>
      </c>
      <c r="H18">
        <v>21</v>
      </c>
      <c r="I18" s="4">
        <v>54928.37</v>
      </c>
      <c r="J18" s="4">
        <v>1153495.77</v>
      </c>
      <c r="K18" s="6">
        <v>10</v>
      </c>
      <c r="L18" s="4">
        <v>1038146.19</v>
      </c>
      <c r="M18" s="4">
        <v>512716.12</v>
      </c>
      <c r="N18" s="4">
        <v>525430.06999999995</v>
      </c>
      <c r="O18" s="6">
        <v>50.61</v>
      </c>
      <c r="P18" s="1" t="s">
        <v>31</v>
      </c>
      <c r="Q18" s="1" t="s">
        <v>106</v>
      </c>
      <c r="R18" s="1" t="s">
        <v>26</v>
      </c>
    </row>
    <row r="19" spans="1:18" x14ac:dyDescent="0.25">
      <c r="A19" s="1" t="s">
        <v>367</v>
      </c>
      <c r="B19" s="2">
        <v>44991</v>
      </c>
      <c r="C19" s="1" t="s">
        <v>34</v>
      </c>
      <c r="D19" s="1" t="s">
        <v>71</v>
      </c>
      <c r="E19" s="1" t="s">
        <v>65</v>
      </c>
      <c r="F19" s="1" t="s">
        <v>60</v>
      </c>
      <c r="G19" s="1" t="s">
        <v>121</v>
      </c>
      <c r="H19">
        <v>30</v>
      </c>
      <c r="I19" s="4">
        <v>38382.559999999998</v>
      </c>
      <c r="J19" s="4">
        <v>1151476.8</v>
      </c>
      <c r="K19" s="6">
        <v>25</v>
      </c>
      <c r="L19" s="4">
        <v>863607.6</v>
      </c>
      <c r="M19" s="4">
        <v>438252.2</v>
      </c>
      <c r="N19" s="4">
        <v>425355.4</v>
      </c>
      <c r="O19" s="6">
        <v>49.25</v>
      </c>
      <c r="P19" s="1" t="s">
        <v>31</v>
      </c>
      <c r="Q19" s="1" t="s">
        <v>32</v>
      </c>
      <c r="R19" s="1" t="s">
        <v>26</v>
      </c>
    </row>
    <row r="20" spans="1:18" x14ac:dyDescent="0.25">
      <c r="A20" s="1" t="s">
        <v>610</v>
      </c>
      <c r="B20" s="2">
        <v>45106</v>
      </c>
      <c r="C20" s="1" t="s">
        <v>34</v>
      </c>
      <c r="D20" s="1" t="s">
        <v>35</v>
      </c>
      <c r="E20" s="1" t="s">
        <v>36</v>
      </c>
      <c r="F20" s="1" t="s">
        <v>60</v>
      </c>
      <c r="G20" s="1" t="s">
        <v>347</v>
      </c>
      <c r="H20">
        <v>26</v>
      </c>
      <c r="I20" s="4">
        <v>43684.28</v>
      </c>
      <c r="J20" s="4">
        <v>1135791.28</v>
      </c>
      <c r="K20" s="6">
        <v>20</v>
      </c>
      <c r="L20" s="4">
        <v>908633.02</v>
      </c>
      <c r="M20" s="4">
        <v>625170.27</v>
      </c>
      <c r="N20" s="4">
        <v>283462.75</v>
      </c>
      <c r="O20" s="6">
        <v>31.2</v>
      </c>
      <c r="P20" s="1" t="s">
        <v>49</v>
      </c>
      <c r="Q20" s="1" t="s">
        <v>38</v>
      </c>
      <c r="R20" s="1" t="s">
        <v>26</v>
      </c>
    </row>
    <row r="21" spans="1:18" x14ac:dyDescent="0.25">
      <c r="A21" s="1" t="s">
        <v>568</v>
      </c>
      <c r="B21" s="2">
        <v>45085</v>
      </c>
      <c r="C21" s="1" t="s">
        <v>51</v>
      </c>
      <c r="D21" s="1" t="s">
        <v>84</v>
      </c>
      <c r="E21" s="1" t="s">
        <v>53</v>
      </c>
      <c r="F21" s="1" t="s">
        <v>60</v>
      </c>
      <c r="G21" s="1" t="s">
        <v>131</v>
      </c>
      <c r="H21">
        <v>36</v>
      </c>
      <c r="I21" s="4">
        <v>31067.27</v>
      </c>
      <c r="J21" s="4">
        <v>1118421.72</v>
      </c>
      <c r="K21" s="6">
        <v>20</v>
      </c>
      <c r="L21" s="4">
        <v>894737.38</v>
      </c>
      <c r="M21" s="4">
        <v>606432.18000000005</v>
      </c>
      <c r="N21" s="4">
        <v>288305.2</v>
      </c>
      <c r="O21" s="6">
        <v>32.22</v>
      </c>
      <c r="P21" s="1" t="s">
        <v>24</v>
      </c>
      <c r="Q21" s="1" t="s">
        <v>56</v>
      </c>
      <c r="R21" s="1" t="s">
        <v>26</v>
      </c>
    </row>
    <row r="22" spans="1:18" x14ac:dyDescent="0.25">
      <c r="A22" s="1" t="s">
        <v>597</v>
      </c>
      <c r="B22" s="2">
        <v>45320</v>
      </c>
      <c r="C22" s="1" t="s">
        <v>51</v>
      </c>
      <c r="D22" s="1" t="s">
        <v>88</v>
      </c>
      <c r="E22" s="1" t="s">
        <v>65</v>
      </c>
      <c r="F22" s="1" t="s">
        <v>60</v>
      </c>
      <c r="G22" s="1" t="s">
        <v>121</v>
      </c>
      <c r="H22">
        <v>29</v>
      </c>
      <c r="I22" s="4">
        <v>38337.089999999997</v>
      </c>
      <c r="J22" s="4">
        <v>1111775.6100000001</v>
      </c>
      <c r="K22" s="6">
        <v>0</v>
      </c>
      <c r="L22" s="4">
        <v>1111775.6100000001</v>
      </c>
      <c r="M22" s="4">
        <v>619420.43999999994</v>
      </c>
      <c r="N22" s="4">
        <v>492355.17</v>
      </c>
      <c r="O22" s="6">
        <v>44.29</v>
      </c>
      <c r="P22" s="1" t="s">
        <v>31</v>
      </c>
      <c r="Q22" s="1" t="s">
        <v>25</v>
      </c>
      <c r="R22" s="1" t="s">
        <v>26</v>
      </c>
    </row>
    <row r="23" spans="1:18" x14ac:dyDescent="0.25">
      <c r="A23" s="1" t="s">
        <v>331</v>
      </c>
      <c r="B23" s="2">
        <v>45024</v>
      </c>
      <c r="C23" s="1" t="s">
        <v>19</v>
      </c>
      <c r="D23" s="1" t="s">
        <v>159</v>
      </c>
      <c r="E23" s="1" t="s">
        <v>72</v>
      </c>
      <c r="F23" s="1" t="s">
        <v>60</v>
      </c>
      <c r="G23" s="1" t="s">
        <v>184</v>
      </c>
      <c r="H23">
        <v>28</v>
      </c>
      <c r="I23" s="4">
        <v>38978.51</v>
      </c>
      <c r="J23" s="4">
        <v>1091398.28</v>
      </c>
      <c r="K23" s="6">
        <v>10</v>
      </c>
      <c r="L23" s="4">
        <v>982258.45</v>
      </c>
      <c r="M23" s="4">
        <v>559648.62</v>
      </c>
      <c r="N23" s="4">
        <v>422609.83</v>
      </c>
      <c r="O23" s="6">
        <v>43.02</v>
      </c>
      <c r="P23" s="1" t="s">
        <v>31</v>
      </c>
      <c r="Q23" s="1" t="s">
        <v>56</v>
      </c>
      <c r="R23" s="1" t="s">
        <v>26</v>
      </c>
    </row>
    <row r="24" spans="1:18" x14ac:dyDescent="0.25">
      <c r="A24" s="1" t="s">
        <v>286</v>
      </c>
      <c r="B24" s="2">
        <v>45547</v>
      </c>
      <c r="C24" s="1" t="s">
        <v>19</v>
      </c>
      <c r="D24" s="1" t="s">
        <v>20</v>
      </c>
      <c r="E24" s="1" t="s">
        <v>65</v>
      </c>
      <c r="F24" s="1" t="s">
        <v>60</v>
      </c>
      <c r="G24" s="1" t="s">
        <v>188</v>
      </c>
      <c r="H24">
        <v>22</v>
      </c>
      <c r="I24" s="4">
        <v>48394.78</v>
      </c>
      <c r="J24" s="4">
        <v>1064685.1599999999</v>
      </c>
      <c r="K24" s="6">
        <v>20</v>
      </c>
      <c r="L24" s="4">
        <v>851748.13</v>
      </c>
      <c r="M24" s="4">
        <v>457471</v>
      </c>
      <c r="N24" s="4">
        <v>394277.13</v>
      </c>
      <c r="O24" s="6">
        <v>46.29</v>
      </c>
      <c r="P24" s="1" t="s">
        <v>31</v>
      </c>
      <c r="Q24" s="1" t="s">
        <v>106</v>
      </c>
      <c r="R24" s="1" t="s">
        <v>26</v>
      </c>
    </row>
    <row r="25" spans="1:18" x14ac:dyDescent="0.25">
      <c r="A25" s="1" t="s">
        <v>353</v>
      </c>
      <c r="B25" s="2">
        <v>45137</v>
      </c>
      <c r="C25" s="1" t="s">
        <v>58</v>
      </c>
      <c r="D25" s="1" t="s">
        <v>150</v>
      </c>
      <c r="E25" s="1" t="s">
        <v>85</v>
      </c>
      <c r="F25" s="1" t="s">
        <v>60</v>
      </c>
      <c r="G25" s="1" t="s">
        <v>61</v>
      </c>
      <c r="H25">
        <v>38</v>
      </c>
      <c r="I25" s="4">
        <v>26229.53</v>
      </c>
      <c r="J25" s="4">
        <v>996722.14</v>
      </c>
      <c r="K25" s="6">
        <v>0</v>
      </c>
      <c r="L25" s="4">
        <v>996722.14</v>
      </c>
      <c r="M25" s="4">
        <v>609416.53</v>
      </c>
      <c r="N25" s="4">
        <v>387305.61</v>
      </c>
      <c r="O25" s="6">
        <v>38.86</v>
      </c>
      <c r="P25" s="1" t="s">
        <v>44</v>
      </c>
      <c r="Q25" s="1" t="s">
        <v>63</v>
      </c>
      <c r="R25" s="1" t="s">
        <v>26</v>
      </c>
    </row>
    <row r="26" spans="1:18" x14ac:dyDescent="0.25">
      <c r="A26" s="1" t="s">
        <v>581</v>
      </c>
      <c r="B26" s="2">
        <v>45653</v>
      </c>
      <c r="C26" s="1" t="s">
        <v>34</v>
      </c>
      <c r="D26" s="1" t="s">
        <v>35</v>
      </c>
      <c r="E26" s="1" t="s">
        <v>72</v>
      </c>
      <c r="F26" s="1" t="s">
        <v>60</v>
      </c>
      <c r="G26" s="1" t="s">
        <v>131</v>
      </c>
      <c r="H26">
        <v>42</v>
      </c>
      <c r="I26" s="4">
        <v>23682.17</v>
      </c>
      <c r="J26" s="4">
        <v>994651.14</v>
      </c>
      <c r="K26" s="6">
        <v>15</v>
      </c>
      <c r="L26" s="4">
        <v>845453.47</v>
      </c>
      <c r="M26" s="4">
        <v>467165.54</v>
      </c>
      <c r="N26" s="4">
        <v>378287.93</v>
      </c>
      <c r="O26" s="6">
        <v>44.74</v>
      </c>
      <c r="P26" s="1" t="s">
        <v>24</v>
      </c>
      <c r="Q26" s="1" t="s">
        <v>38</v>
      </c>
      <c r="R26" s="1" t="s">
        <v>26</v>
      </c>
    </row>
    <row r="27" spans="1:18" x14ac:dyDescent="0.25">
      <c r="A27" s="1" t="s">
        <v>332</v>
      </c>
      <c r="B27" s="2">
        <v>45110</v>
      </c>
      <c r="C27" s="1" t="s">
        <v>58</v>
      </c>
      <c r="D27" s="1" t="s">
        <v>59</v>
      </c>
      <c r="E27" s="1" t="s">
        <v>112</v>
      </c>
      <c r="F27" s="1" t="s">
        <v>60</v>
      </c>
      <c r="G27" s="1" t="s">
        <v>121</v>
      </c>
      <c r="H27">
        <v>18</v>
      </c>
      <c r="I27" s="4">
        <v>54039.25</v>
      </c>
      <c r="J27" s="4">
        <v>972706.5</v>
      </c>
      <c r="K27" s="6">
        <v>20</v>
      </c>
      <c r="L27" s="4">
        <v>778165.2</v>
      </c>
      <c r="M27" s="4">
        <v>464901.39</v>
      </c>
      <c r="N27" s="4">
        <v>313263.81</v>
      </c>
      <c r="O27" s="6">
        <v>40.26</v>
      </c>
      <c r="P27" s="1" t="s">
        <v>44</v>
      </c>
      <c r="Q27" s="1" t="s">
        <v>56</v>
      </c>
      <c r="R27" s="1" t="s">
        <v>26</v>
      </c>
    </row>
    <row r="28" spans="1:18" x14ac:dyDescent="0.25">
      <c r="A28" s="1" t="s">
        <v>191</v>
      </c>
      <c r="B28" s="2">
        <v>44979</v>
      </c>
      <c r="C28" s="1" t="s">
        <v>58</v>
      </c>
      <c r="D28" s="1" t="s">
        <v>150</v>
      </c>
      <c r="E28" s="1" t="s">
        <v>28</v>
      </c>
      <c r="F28" s="1" t="s">
        <v>60</v>
      </c>
      <c r="G28" s="1" t="s">
        <v>61</v>
      </c>
      <c r="H28">
        <v>24</v>
      </c>
      <c r="I28" s="4">
        <v>37659.93</v>
      </c>
      <c r="J28" s="4">
        <v>903838.32</v>
      </c>
      <c r="K28" s="6">
        <v>15</v>
      </c>
      <c r="L28" s="4">
        <v>768262.57</v>
      </c>
      <c r="M28" s="4">
        <v>451448.47</v>
      </c>
      <c r="N28" s="4">
        <v>316814.09999999998</v>
      </c>
      <c r="O28" s="6">
        <v>41.24</v>
      </c>
      <c r="P28" s="1" t="s">
        <v>49</v>
      </c>
      <c r="Q28" s="1" t="s">
        <v>38</v>
      </c>
      <c r="R28" s="1" t="s">
        <v>26</v>
      </c>
    </row>
    <row r="29" spans="1:18" x14ac:dyDescent="0.25">
      <c r="A29" s="1" t="s">
        <v>308</v>
      </c>
      <c r="B29" s="2">
        <v>44930</v>
      </c>
      <c r="C29" s="1" t="s">
        <v>58</v>
      </c>
      <c r="D29" s="1" t="s">
        <v>119</v>
      </c>
      <c r="E29" s="1" t="s">
        <v>112</v>
      </c>
      <c r="F29" s="1" t="s">
        <v>60</v>
      </c>
      <c r="G29" s="1" t="s">
        <v>184</v>
      </c>
      <c r="H29">
        <v>20</v>
      </c>
      <c r="I29" s="4">
        <v>43618.18</v>
      </c>
      <c r="J29" s="4">
        <v>872363.6</v>
      </c>
      <c r="K29" s="6">
        <v>15</v>
      </c>
      <c r="L29" s="4">
        <v>741509.06</v>
      </c>
      <c r="M29" s="4">
        <v>353208.32000000001</v>
      </c>
      <c r="N29" s="4">
        <v>388300.74</v>
      </c>
      <c r="O29" s="6">
        <v>52.37</v>
      </c>
      <c r="P29" s="1" t="s">
        <v>49</v>
      </c>
      <c r="Q29" s="1" t="s">
        <v>25</v>
      </c>
      <c r="R29" s="1" t="s">
        <v>26</v>
      </c>
    </row>
    <row r="30" spans="1:18" x14ac:dyDescent="0.25">
      <c r="A30" s="1" t="s">
        <v>183</v>
      </c>
      <c r="B30" s="2">
        <v>45432</v>
      </c>
      <c r="C30" s="1" t="s">
        <v>34</v>
      </c>
      <c r="D30" s="1" t="s">
        <v>133</v>
      </c>
      <c r="E30" s="1" t="s">
        <v>65</v>
      </c>
      <c r="F30" s="1" t="s">
        <v>60</v>
      </c>
      <c r="G30" s="1" t="s">
        <v>184</v>
      </c>
      <c r="H30">
        <v>20</v>
      </c>
      <c r="I30" s="4">
        <v>42224.23</v>
      </c>
      <c r="J30" s="4">
        <v>844484.6</v>
      </c>
      <c r="K30" s="6">
        <v>10</v>
      </c>
      <c r="L30" s="4">
        <v>760036.14</v>
      </c>
      <c r="M30" s="4">
        <v>418127.54</v>
      </c>
      <c r="N30" s="4">
        <v>341908.6</v>
      </c>
      <c r="O30" s="6">
        <v>44.99</v>
      </c>
      <c r="P30" s="1" t="s">
        <v>62</v>
      </c>
      <c r="Q30" s="1" t="s">
        <v>56</v>
      </c>
      <c r="R30" s="1" t="s">
        <v>26</v>
      </c>
    </row>
    <row r="31" spans="1:18" x14ac:dyDescent="0.25">
      <c r="A31" s="1" t="s">
        <v>548</v>
      </c>
      <c r="B31" s="2">
        <v>45112</v>
      </c>
      <c r="C31" s="1" t="s">
        <v>19</v>
      </c>
      <c r="D31" s="1" t="s">
        <v>166</v>
      </c>
      <c r="E31" s="1" t="s">
        <v>76</v>
      </c>
      <c r="F31" s="1" t="s">
        <v>60</v>
      </c>
      <c r="G31" s="1" t="s">
        <v>188</v>
      </c>
      <c r="H31">
        <v>18</v>
      </c>
      <c r="I31" s="4">
        <v>46718.65</v>
      </c>
      <c r="J31" s="4">
        <v>840935.7</v>
      </c>
      <c r="K31" s="6">
        <v>0</v>
      </c>
      <c r="L31" s="4">
        <v>840935.7</v>
      </c>
      <c r="M31" s="4">
        <v>473411.13</v>
      </c>
      <c r="N31" s="4">
        <v>367524.57</v>
      </c>
      <c r="O31" s="6">
        <v>43.7</v>
      </c>
      <c r="P31" s="1" t="s">
        <v>49</v>
      </c>
      <c r="Q31" s="1" t="s">
        <v>38</v>
      </c>
      <c r="R31" s="1" t="s">
        <v>26</v>
      </c>
    </row>
    <row r="32" spans="1:18" x14ac:dyDescent="0.25">
      <c r="A32" s="1" t="s">
        <v>396</v>
      </c>
      <c r="B32" s="2">
        <v>45105</v>
      </c>
      <c r="C32" s="1" t="s">
        <v>34</v>
      </c>
      <c r="D32" s="1" t="s">
        <v>46</v>
      </c>
      <c r="E32" s="1" t="s">
        <v>36</v>
      </c>
      <c r="F32" s="1" t="s">
        <v>60</v>
      </c>
      <c r="G32" s="1" t="s">
        <v>61</v>
      </c>
      <c r="H32">
        <v>26</v>
      </c>
      <c r="I32" s="4">
        <v>31196.81</v>
      </c>
      <c r="J32" s="4">
        <v>811117.06</v>
      </c>
      <c r="K32" s="6">
        <v>25</v>
      </c>
      <c r="L32" s="4">
        <v>608337.80000000005</v>
      </c>
      <c r="M32" s="4">
        <v>297873.95</v>
      </c>
      <c r="N32" s="4">
        <v>310463.84999999998</v>
      </c>
      <c r="O32" s="6">
        <v>51.03</v>
      </c>
      <c r="P32" s="1" t="s">
        <v>24</v>
      </c>
      <c r="Q32" s="1" t="s">
        <v>32</v>
      </c>
      <c r="R32" s="1" t="s">
        <v>26</v>
      </c>
    </row>
    <row r="33" spans="1:18" x14ac:dyDescent="0.25">
      <c r="A33" s="1" t="s">
        <v>320</v>
      </c>
      <c r="B33" s="2">
        <v>45417</v>
      </c>
      <c r="C33" s="1" t="s">
        <v>34</v>
      </c>
      <c r="D33" s="1" t="s">
        <v>172</v>
      </c>
      <c r="E33" s="1" t="s">
        <v>53</v>
      </c>
      <c r="F33" s="1" t="s">
        <v>60</v>
      </c>
      <c r="G33" s="1" t="s">
        <v>61</v>
      </c>
      <c r="H33">
        <v>13</v>
      </c>
      <c r="I33" s="4">
        <v>57754.99</v>
      </c>
      <c r="J33" s="4">
        <v>750814.87</v>
      </c>
      <c r="K33" s="6">
        <v>0</v>
      </c>
      <c r="L33" s="4">
        <v>750814.87</v>
      </c>
      <c r="M33" s="4">
        <v>468556.36</v>
      </c>
      <c r="N33" s="4">
        <v>282258.51</v>
      </c>
      <c r="O33" s="6">
        <v>37.590000000000003</v>
      </c>
      <c r="P33" s="1" t="s">
        <v>49</v>
      </c>
      <c r="Q33" s="1" t="s">
        <v>63</v>
      </c>
      <c r="R33" s="1" t="s">
        <v>26</v>
      </c>
    </row>
    <row r="34" spans="1:18" x14ac:dyDescent="0.25">
      <c r="A34" s="1" t="s">
        <v>418</v>
      </c>
      <c r="B34" s="2">
        <v>45584</v>
      </c>
      <c r="C34" s="1" t="s">
        <v>19</v>
      </c>
      <c r="D34" s="1" t="s">
        <v>155</v>
      </c>
      <c r="E34" s="1" t="s">
        <v>42</v>
      </c>
      <c r="F34" s="1" t="s">
        <v>60</v>
      </c>
      <c r="G34" s="1" t="s">
        <v>131</v>
      </c>
      <c r="H34">
        <v>26</v>
      </c>
      <c r="I34" s="4">
        <v>28679.91</v>
      </c>
      <c r="J34" s="4">
        <v>745677.66</v>
      </c>
      <c r="K34" s="6">
        <v>25</v>
      </c>
      <c r="L34" s="4">
        <v>559258.24</v>
      </c>
      <c r="M34" s="4">
        <v>268165.06</v>
      </c>
      <c r="N34" s="4">
        <v>291093.18</v>
      </c>
      <c r="O34" s="6">
        <v>52.05</v>
      </c>
      <c r="P34" s="1" t="s">
        <v>31</v>
      </c>
      <c r="Q34" s="1" t="s">
        <v>32</v>
      </c>
      <c r="R34" s="1" t="s">
        <v>26</v>
      </c>
    </row>
    <row r="35" spans="1:18" x14ac:dyDescent="0.25">
      <c r="A35" s="1" t="s">
        <v>285</v>
      </c>
      <c r="B35" s="2">
        <v>45130</v>
      </c>
      <c r="C35" s="1" t="s">
        <v>19</v>
      </c>
      <c r="D35" s="1" t="s">
        <v>159</v>
      </c>
      <c r="E35" s="1" t="s">
        <v>36</v>
      </c>
      <c r="F35" s="1" t="s">
        <v>60</v>
      </c>
      <c r="G35" s="1" t="s">
        <v>204</v>
      </c>
      <c r="H35">
        <v>22</v>
      </c>
      <c r="I35" s="4">
        <v>33823.64</v>
      </c>
      <c r="J35" s="4">
        <v>744120.08</v>
      </c>
      <c r="K35" s="6">
        <v>10</v>
      </c>
      <c r="L35" s="4">
        <v>669708.06999999995</v>
      </c>
      <c r="M35" s="4">
        <v>419565.11</v>
      </c>
      <c r="N35" s="4">
        <v>250142.96</v>
      </c>
      <c r="O35" s="6">
        <v>37.35</v>
      </c>
      <c r="P35" s="1" t="s">
        <v>31</v>
      </c>
      <c r="Q35" s="1" t="s">
        <v>25</v>
      </c>
      <c r="R35" s="1" t="s">
        <v>26</v>
      </c>
    </row>
    <row r="36" spans="1:18" x14ac:dyDescent="0.25">
      <c r="A36" s="1" t="s">
        <v>599</v>
      </c>
      <c r="B36" s="2">
        <v>45047</v>
      </c>
      <c r="C36" s="1" t="s">
        <v>19</v>
      </c>
      <c r="D36" s="1" t="s">
        <v>155</v>
      </c>
      <c r="E36" s="1" t="s">
        <v>65</v>
      </c>
      <c r="F36" s="1" t="s">
        <v>47</v>
      </c>
      <c r="G36" s="1" t="s">
        <v>230</v>
      </c>
      <c r="H36">
        <v>50</v>
      </c>
      <c r="I36" s="4">
        <v>14428.15</v>
      </c>
      <c r="J36" s="4">
        <v>721407.5</v>
      </c>
      <c r="K36" s="6">
        <v>10</v>
      </c>
      <c r="L36" s="4">
        <v>649266.75</v>
      </c>
      <c r="M36" s="4">
        <v>381727.2</v>
      </c>
      <c r="N36" s="4">
        <v>267539.55</v>
      </c>
      <c r="O36" s="6">
        <v>41.21</v>
      </c>
      <c r="P36" s="1" t="s">
        <v>49</v>
      </c>
      <c r="Q36" s="1" t="s">
        <v>106</v>
      </c>
      <c r="R36" s="1" t="s">
        <v>180</v>
      </c>
    </row>
    <row r="37" spans="1:18" x14ac:dyDescent="0.25">
      <c r="A37" s="1" t="s">
        <v>571</v>
      </c>
      <c r="B37" s="2">
        <v>45159</v>
      </c>
      <c r="C37" s="1" t="s">
        <v>58</v>
      </c>
      <c r="D37" s="1" t="s">
        <v>79</v>
      </c>
      <c r="E37" s="1" t="s">
        <v>36</v>
      </c>
      <c r="F37" s="1" t="s">
        <v>60</v>
      </c>
      <c r="G37" s="1" t="s">
        <v>347</v>
      </c>
      <c r="H37">
        <v>28</v>
      </c>
      <c r="I37" s="4">
        <v>25458.09</v>
      </c>
      <c r="J37" s="4">
        <v>712826.52</v>
      </c>
      <c r="K37" s="6">
        <v>0</v>
      </c>
      <c r="L37" s="4">
        <v>712826.52</v>
      </c>
      <c r="M37" s="4">
        <v>471132.68</v>
      </c>
      <c r="N37" s="4">
        <v>241693.84</v>
      </c>
      <c r="O37" s="6">
        <v>33.909999999999997</v>
      </c>
      <c r="P37" s="1" t="s">
        <v>31</v>
      </c>
      <c r="Q37" s="1" t="s">
        <v>56</v>
      </c>
      <c r="R37" s="1" t="s">
        <v>26</v>
      </c>
    </row>
    <row r="38" spans="1:18" x14ac:dyDescent="0.25">
      <c r="A38" s="1" t="s">
        <v>543</v>
      </c>
      <c r="B38" s="2">
        <v>45120</v>
      </c>
      <c r="C38" s="1" t="s">
        <v>58</v>
      </c>
      <c r="D38" s="1" t="s">
        <v>59</v>
      </c>
      <c r="E38" s="1" t="s">
        <v>42</v>
      </c>
      <c r="F38" s="1" t="s">
        <v>60</v>
      </c>
      <c r="G38" s="1" t="s">
        <v>204</v>
      </c>
      <c r="H38">
        <v>19</v>
      </c>
      <c r="I38" s="4">
        <v>36142.620000000003</v>
      </c>
      <c r="J38" s="4">
        <v>686709.78</v>
      </c>
      <c r="K38" s="6">
        <v>0</v>
      </c>
      <c r="L38" s="4">
        <v>686709.78</v>
      </c>
      <c r="M38" s="4">
        <v>387622.71</v>
      </c>
      <c r="N38" s="4">
        <v>299087.07</v>
      </c>
      <c r="O38" s="6">
        <v>43.55</v>
      </c>
      <c r="P38" s="1" t="s">
        <v>62</v>
      </c>
      <c r="Q38" s="1" t="s">
        <v>25</v>
      </c>
      <c r="R38" s="1" t="s">
        <v>26</v>
      </c>
    </row>
    <row r="39" spans="1:18" x14ac:dyDescent="0.25">
      <c r="A39" s="1" t="s">
        <v>203</v>
      </c>
      <c r="B39" s="2">
        <v>45399</v>
      </c>
      <c r="C39" s="1" t="s">
        <v>51</v>
      </c>
      <c r="D39" s="1" t="s">
        <v>98</v>
      </c>
      <c r="E39" s="1" t="s">
        <v>104</v>
      </c>
      <c r="F39" s="1" t="s">
        <v>60</v>
      </c>
      <c r="G39" s="1" t="s">
        <v>204</v>
      </c>
      <c r="H39">
        <v>44</v>
      </c>
      <c r="I39" s="4">
        <v>15057.12</v>
      </c>
      <c r="J39" s="4">
        <v>662513.28</v>
      </c>
      <c r="K39" s="6">
        <v>20</v>
      </c>
      <c r="L39" s="4">
        <v>530010.62</v>
      </c>
      <c r="M39" s="4">
        <v>234760.42</v>
      </c>
      <c r="N39" s="4">
        <v>295250.2</v>
      </c>
      <c r="O39" s="6">
        <v>55.71</v>
      </c>
      <c r="P39" s="1" t="s">
        <v>44</v>
      </c>
      <c r="Q39" s="1" t="s">
        <v>32</v>
      </c>
      <c r="R39" s="1" t="s">
        <v>26</v>
      </c>
    </row>
    <row r="40" spans="1:18" x14ac:dyDescent="0.25">
      <c r="A40" s="1" t="s">
        <v>383</v>
      </c>
      <c r="B40" s="2">
        <v>44957</v>
      </c>
      <c r="C40" s="1" t="s">
        <v>34</v>
      </c>
      <c r="D40" s="1" t="s">
        <v>46</v>
      </c>
      <c r="E40" s="1" t="s">
        <v>65</v>
      </c>
      <c r="F40" s="1" t="s">
        <v>47</v>
      </c>
      <c r="G40" s="1" t="s">
        <v>127</v>
      </c>
      <c r="H40">
        <v>50</v>
      </c>
      <c r="I40" s="4">
        <v>13146.19</v>
      </c>
      <c r="J40" s="4">
        <v>657309.5</v>
      </c>
      <c r="K40" s="6">
        <v>25</v>
      </c>
      <c r="L40" s="4">
        <v>492982.12</v>
      </c>
      <c r="M40" s="4">
        <v>328288.84000000003</v>
      </c>
      <c r="N40" s="4">
        <v>164693.28</v>
      </c>
      <c r="O40" s="6">
        <v>33.409999999999997</v>
      </c>
      <c r="P40" s="1" t="s">
        <v>44</v>
      </c>
      <c r="Q40" s="1" t="s">
        <v>32</v>
      </c>
      <c r="R40" s="1" t="s">
        <v>26</v>
      </c>
    </row>
    <row r="41" spans="1:18" x14ac:dyDescent="0.25">
      <c r="A41" s="1" t="s">
        <v>423</v>
      </c>
      <c r="B41" s="2">
        <v>45496</v>
      </c>
      <c r="C41" s="1" t="s">
        <v>51</v>
      </c>
      <c r="D41" s="1" t="s">
        <v>91</v>
      </c>
      <c r="E41" s="1" t="s">
        <v>53</v>
      </c>
      <c r="F41" s="1" t="s">
        <v>47</v>
      </c>
      <c r="G41" s="1" t="s">
        <v>48</v>
      </c>
      <c r="H41">
        <v>47</v>
      </c>
      <c r="I41" s="4">
        <v>13742.65</v>
      </c>
      <c r="J41" s="4">
        <v>645904.55000000005</v>
      </c>
      <c r="K41" s="6">
        <v>0</v>
      </c>
      <c r="L41" s="4">
        <v>645904.55000000005</v>
      </c>
      <c r="M41" s="4">
        <v>275225.25</v>
      </c>
      <c r="N41" s="4">
        <v>370679.3</v>
      </c>
      <c r="O41" s="6">
        <v>57.39</v>
      </c>
      <c r="P41" s="1" t="s">
        <v>62</v>
      </c>
      <c r="Q41" s="1" t="s">
        <v>25</v>
      </c>
      <c r="R41" s="1" t="s">
        <v>26</v>
      </c>
    </row>
    <row r="42" spans="1:18" x14ac:dyDescent="0.25">
      <c r="A42" s="1" t="s">
        <v>337</v>
      </c>
      <c r="B42" s="2">
        <v>45016</v>
      </c>
      <c r="C42" s="1" t="s">
        <v>34</v>
      </c>
      <c r="D42" s="1" t="s">
        <v>35</v>
      </c>
      <c r="E42" s="1" t="s">
        <v>139</v>
      </c>
      <c r="F42" s="1" t="s">
        <v>60</v>
      </c>
      <c r="G42" s="1" t="s">
        <v>89</v>
      </c>
      <c r="H42">
        <v>29</v>
      </c>
      <c r="I42" s="4">
        <v>22107.119999999999</v>
      </c>
      <c r="J42" s="4">
        <v>641106.48</v>
      </c>
      <c r="K42" s="6">
        <v>10</v>
      </c>
      <c r="L42" s="4">
        <v>576995.82999999996</v>
      </c>
      <c r="M42" s="4">
        <v>248494.46</v>
      </c>
      <c r="N42" s="4">
        <v>328501.37</v>
      </c>
      <c r="O42" s="6">
        <v>56.93</v>
      </c>
      <c r="P42" s="1" t="s">
        <v>49</v>
      </c>
      <c r="Q42" s="1" t="s">
        <v>32</v>
      </c>
      <c r="R42" s="1" t="s">
        <v>26</v>
      </c>
    </row>
    <row r="43" spans="1:18" x14ac:dyDescent="0.25">
      <c r="A43" s="1" t="s">
        <v>399</v>
      </c>
      <c r="B43" s="2">
        <v>45331</v>
      </c>
      <c r="C43" s="1" t="s">
        <v>34</v>
      </c>
      <c r="D43" s="1" t="s">
        <v>35</v>
      </c>
      <c r="E43" s="1" t="s">
        <v>76</v>
      </c>
      <c r="F43" s="1" t="s">
        <v>60</v>
      </c>
      <c r="G43" s="1" t="s">
        <v>184</v>
      </c>
      <c r="H43">
        <v>11</v>
      </c>
      <c r="I43" s="4">
        <v>55508.6</v>
      </c>
      <c r="J43" s="4">
        <v>610594.6</v>
      </c>
      <c r="K43" s="6">
        <v>15</v>
      </c>
      <c r="L43" s="4">
        <v>519005.41</v>
      </c>
      <c r="M43" s="4">
        <v>335539.90999999997</v>
      </c>
      <c r="N43" s="4">
        <v>183465.5</v>
      </c>
      <c r="O43" s="6">
        <v>35.35</v>
      </c>
      <c r="P43" s="1" t="s">
        <v>62</v>
      </c>
      <c r="Q43" s="1" t="s">
        <v>56</v>
      </c>
      <c r="R43" s="1" t="s">
        <v>26</v>
      </c>
    </row>
    <row r="44" spans="1:18" x14ac:dyDescent="0.25">
      <c r="A44" s="1" t="s">
        <v>387</v>
      </c>
      <c r="B44" s="2">
        <v>45455</v>
      </c>
      <c r="C44" s="1" t="s">
        <v>19</v>
      </c>
      <c r="D44" s="1" t="s">
        <v>75</v>
      </c>
      <c r="E44" s="1" t="s">
        <v>28</v>
      </c>
      <c r="F44" s="1" t="s">
        <v>47</v>
      </c>
      <c r="G44" s="1" t="s">
        <v>160</v>
      </c>
      <c r="H44">
        <v>44</v>
      </c>
      <c r="I44" s="4">
        <v>13563.44</v>
      </c>
      <c r="J44" s="4">
        <v>596791.36</v>
      </c>
      <c r="K44" s="6">
        <v>5</v>
      </c>
      <c r="L44" s="4">
        <v>566951.79</v>
      </c>
      <c r="M44" s="4">
        <v>264741.27</v>
      </c>
      <c r="N44" s="4">
        <v>302210.52</v>
      </c>
      <c r="O44" s="6">
        <v>53.3</v>
      </c>
      <c r="P44" s="1" t="s">
        <v>24</v>
      </c>
      <c r="Q44" s="1" t="s">
        <v>32</v>
      </c>
      <c r="R44" s="1" t="s">
        <v>26</v>
      </c>
    </row>
    <row r="45" spans="1:18" x14ac:dyDescent="0.25">
      <c r="A45" s="1" t="s">
        <v>154</v>
      </c>
      <c r="B45" s="2">
        <v>44958</v>
      </c>
      <c r="C45" s="1" t="s">
        <v>19</v>
      </c>
      <c r="D45" s="1" t="s">
        <v>155</v>
      </c>
      <c r="E45" s="1" t="s">
        <v>36</v>
      </c>
      <c r="F45" s="1" t="s">
        <v>60</v>
      </c>
      <c r="G45" s="1" t="s">
        <v>89</v>
      </c>
      <c r="H45">
        <v>15</v>
      </c>
      <c r="I45" s="4">
        <v>39288.53</v>
      </c>
      <c r="J45" s="4">
        <v>589327.94999999995</v>
      </c>
      <c r="K45" s="6">
        <v>25</v>
      </c>
      <c r="L45" s="4">
        <v>441995.96</v>
      </c>
      <c r="M45" s="4">
        <v>182136.56</v>
      </c>
      <c r="N45" s="4">
        <v>259859.4</v>
      </c>
      <c r="O45" s="6">
        <v>58.79</v>
      </c>
      <c r="P45" s="1" t="s">
        <v>49</v>
      </c>
      <c r="Q45" s="1" t="s">
        <v>106</v>
      </c>
      <c r="R45" s="1" t="s">
        <v>26</v>
      </c>
    </row>
    <row r="46" spans="1:18" x14ac:dyDescent="0.25">
      <c r="A46" s="1" t="s">
        <v>445</v>
      </c>
      <c r="B46" s="2">
        <v>45470</v>
      </c>
      <c r="C46" s="1" t="s">
        <v>58</v>
      </c>
      <c r="D46" s="1" t="s">
        <v>150</v>
      </c>
      <c r="E46" s="1" t="s">
        <v>28</v>
      </c>
      <c r="F46" s="1" t="s">
        <v>60</v>
      </c>
      <c r="G46" s="1" t="s">
        <v>89</v>
      </c>
      <c r="H46">
        <v>13</v>
      </c>
      <c r="I46" s="4">
        <v>44055.02</v>
      </c>
      <c r="J46" s="4">
        <v>572715.26</v>
      </c>
      <c r="K46" s="6">
        <v>0</v>
      </c>
      <c r="L46" s="4">
        <v>572715.26</v>
      </c>
      <c r="M46" s="4">
        <v>382345.81</v>
      </c>
      <c r="N46" s="4">
        <v>190369.45</v>
      </c>
      <c r="O46" s="6">
        <v>33.24</v>
      </c>
      <c r="P46" s="1" t="s">
        <v>49</v>
      </c>
      <c r="Q46" s="1" t="s">
        <v>56</v>
      </c>
      <c r="R46" s="1" t="s">
        <v>26</v>
      </c>
    </row>
    <row r="47" spans="1:18" x14ac:dyDescent="0.25">
      <c r="A47" s="1" t="s">
        <v>333</v>
      </c>
      <c r="B47" s="2">
        <v>45480</v>
      </c>
      <c r="C47" s="1" t="s">
        <v>51</v>
      </c>
      <c r="D47" s="1" t="s">
        <v>52</v>
      </c>
      <c r="E47" s="1" t="s">
        <v>80</v>
      </c>
      <c r="F47" s="1" t="s">
        <v>60</v>
      </c>
      <c r="G47" s="1" t="s">
        <v>131</v>
      </c>
      <c r="H47">
        <v>37</v>
      </c>
      <c r="I47" s="4">
        <v>15035.95</v>
      </c>
      <c r="J47" s="4">
        <v>556330.15</v>
      </c>
      <c r="K47" s="6">
        <v>15</v>
      </c>
      <c r="L47" s="4">
        <v>472880.63</v>
      </c>
      <c r="M47" s="4">
        <v>285199.27</v>
      </c>
      <c r="N47" s="4">
        <v>187681.36</v>
      </c>
      <c r="O47" s="6">
        <v>39.69</v>
      </c>
      <c r="P47" s="1" t="s">
        <v>44</v>
      </c>
      <c r="Q47" s="1" t="s">
        <v>32</v>
      </c>
      <c r="R47" s="1" t="s">
        <v>26</v>
      </c>
    </row>
    <row r="48" spans="1:18" x14ac:dyDescent="0.25">
      <c r="A48" s="1" t="s">
        <v>182</v>
      </c>
      <c r="B48" s="2">
        <v>45096</v>
      </c>
      <c r="C48" s="1" t="s">
        <v>51</v>
      </c>
      <c r="D48" s="1" t="s">
        <v>52</v>
      </c>
      <c r="E48" s="1" t="s">
        <v>112</v>
      </c>
      <c r="F48" s="1" t="s">
        <v>60</v>
      </c>
      <c r="G48" s="1" t="s">
        <v>61</v>
      </c>
      <c r="H48">
        <v>10</v>
      </c>
      <c r="I48" s="4">
        <v>54577.96</v>
      </c>
      <c r="J48" s="4">
        <v>545779.6</v>
      </c>
      <c r="K48" s="6">
        <v>5</v>
      </c>
      <c r="L48" s="4">
        <v>518490.62</v>
      </c>
      <c r="M48" s="4">
        <v>218503.85</v>
      </c>
      <c r="N48" s="4">
        <v>299986.77</v>
      </c>
      <c r="O48" s="6">
        <v>57.86</v>
      </c>
      <c r="P48" s="1" t="s">
        <v>44</v>
      </c>
      <c r="Q48" s="1" t="s">
        <v>25</v>
      </c>
      <c r="R48" s="1" t="s">
        <v>26</v>
      </c>
    </row>
    <row r="49" spans="1:18" x14ac:dyDescent="0.25">
      <c r="A49" s="1" t="s">
        <v>349</v>
      </c>
      <c r="B49" s="2">
        <v>45280</v>
      </c>
      <c r="C49" s="1" t="s">
        <v>51</v>
      </c>
      <c r="D49" s="1" t="s">
        <v>52</v>
      </c>
      <c r="E49" s="1" t="s">
        <v>85</v>
      </c>
      <c r="F49" s="1" t="s">
        <v>47</v>
      </c>
      <c r="G49" s="1" t="s">
        <v>108</v>
      </c>
      <c r="H49">
        <v>50</v>
      </c>
      <c r="I49" s="4">
        <v>10305.49</v>
      </c>
      <c r="J49" s="4">
        <v>515274.5</v>
      </c>
      <c r="K49" s="6">
        <v>25</v>
      </c>
      <c r="L49" s="4">
        <v>386455.88</v>
      </c>
      <c r="M49" s="4">
        <v>212604.74</v>
      </c>
      <c r="N49" s="4">
        <v>173851.14</v>
      </c>
      <c r="O49" s="6">
        <v>44.99</v>
      </c>
      <c r="P49" s="1" t="s">
        <v>24</v>
      </c>
      <c r="Q49" s="1" t="s">
        <v>32</v>
      </c>
      <c r="R49" s="1" t="s">
        <v>26</v>
      </c>
    </row>
    <row r="50" spans="1:18" x14ac:dyDescent="0.25">
      <c r="A50" s="1" t="s">
        <v>617</v>
      </c>
      <c r="B50" s="2">
        <v>44974</v>
      </c>
      <c r="C50" s="1" t="s">
        <v>19</v>
      </c>
      <c r="D50" s="1" t="s">
        <v>20</v>
      </c>
      <c r="E50" s="1" t="s">
        <v>112</v>
      </c>
      <c r="F50" s="1" t="s">
        <v>47</v>
      </c>
      <c r="G50" s="1" t="s">
        <v>202</v>
      </c>
      <c r="H50">
        <v>39</v>
      </c>
      <c r="I50" s="4">
        <v>13122.97</v>
      </c>
      <c r="J50" s="4">
        <v>511795.83</v>
      </c>
      <c r="K50" s="6">
        <v>10</v>
      </c>
      <c r="L50" s="4">
        <v>460616.25</v>
      </c>
      <c r="M50" s="4">
        <v>248761.69</v>
      </c>
      <c r="N50" s="4">
        <v>211854.56</v>
      </c>
      <c r="O50" s="6">
        <v>45.99</v>
      </c>
      <c r="P50" s="1" t="s">
        <v>24</v>
      </c>
      <c r="Q50" s="1" t="s">
        <v>25</v>
      </c>
      <c r="R50" s="1" t="s">
        <v>26</v>
      </c>
    </row>
    <row r="51" spans="1:18" x14ac:dyDescent="0.25">
      <c r="A51" s="1" t="s">
        <v>293</v>
      </c>
      <c r="B51" s="2">
        <v>45051</v>
      </c>
      <c r="C51" s="1" t="s">
        <v>51</v>
      </c>
      <c r="D51" s="1" t="s">
        <v>52</v>
      </c>
      <c r="E51" s="1" t="s">
        <v>36</v>
      </c>
      <c r="F51" s="1" t="s">
        <v>47</v>
      </c>
      <c r="G51" s="1" t="s">
        <v>77</v>
      </c>
      <c r="H51">
        <v>36</v>
      </c>
      <c r="I51" s="4">
        <v>14028.71</v>
      </c>
      <c r="J51" s="4">
        <v>505033.56</v>
      </c>
      <c r="K51" s="6">
        <v>25</v>
      </c>
      <c r="L51" s="4">
        <v>378775.17</v>
      </c>
      <c r="M51" s="4">
        <v>182583.75</v>
      </c>
      <c r="N51" s="4">
        <v>196191.42</v>
      </c>
      <c r="O51" s="6">
        <v>51.8</v>
      </c>
      <c r="P51" s="1" t="s">
        <v>31</v>
      </c>
      <c r="Q51" s="1" t="s">
        <v>63</v>
      </c>
      <c r="R51" s="1" t="s">
        <v>26</v>
      </c>
    </row>
    <row r="52" spans="1:18" x14ac:dyDescent="0.25">
      <c r="A52" s="1" t="s">
        <v>533</v>
      </c>
      <c r="B52" s="2">
        <v>45348</v>
      </c>
      <c r="C52" s="1" t="s">
        <v>34</v>
      </c>
      <c r="D52" s="1" t="s">
        <v>172</v>
      </c>
      <c r="E52" s="1" t="s">
        <v>28</v>
      </c>
      <c r="F52" s="1" t="s">
        <v>47</v>
      </c>
      <c r="G52" s="1" t="s">
        <v>48</v>
      </c>
      <c r="H52">
        <v>36</v>
      </c>
      <c r="I52" s="4">
        <v>14001.52</v>
      </c>
      <c r="J52" s="4">
        <v>504054.72</v>
      </c>
      <c r="K52" s="6">
        <v>10</v>
      </c>
      <c r="L52" s="4">
        <v>453649.25</v>
      </c>
      <c r="M52" s="4">
        <v>228295.39</v>
      </c>
      <c r="N52" s="4">
        <v>225353.86</v>
      </c>
      <c r="O52" s="6">
        <v>49.68</v>
      </c>
      <c r="P52" s="1" t="s">
        <v>24</v>
      </c>
      <c r="Q52" s="1" t="s">
        <v>38</v>
      </c>
      <c r="R52" s="1" t="s">
        <v>26</v>
      </c>
    </row>
    <row r="53" spans="1:18" x14ac:dyDescent="0.25">
      <c r="A53" s="1" t="s">
        <v>523</v>
      </c>
      <c r="B53" s="2">
        <v>45109</v>
      </c>
      <c r="C53" s="1" t="s">
        <v>34</v>
      </c>
      <c r="D53" s="1" t="s">
        <v>46</v>
      </c>
      <c r="E53" s="1" t="s">
        <v>129</v>
      </c>
      <c r="F53" s="1" t="s">
        <v>47</v>
      </c>
      <c r="G53" s="1" t="s">
        <v>160</v>
      </c>
      <c r="H53">
        <v>44</v>
      </c>
      <c r="I53" s="4">
        <v>11319.75</v>
      </c>
      <c r="J53" s="4">
        <v>498069</v>
      </c>
      <c r="K53" s="6">
        <v>10</v>
      </c>
      <c r="L53" s="4">
        <v>448262.1</v>
      </c>
      <c r="M53" s="4">
        <v>189529.09</v>
      </c>
      <c r="N53" s="4">
        <v>258733.01</v>
      </c>
      <c r="O53" s="6">
        <v>57.72</v>
      </c>
      <c r="P53" s="1" t="s">
        <v>62</v>
      </c>
      <c r="Q53" s="1" t="s">
        <v>38</v>
      </c>
      <c r="R53" s="1" t="s">
        <v>26</v>
      </c>
    </row>
    <row r="54" spans="1:18" x14ac:dyDescent="0.25">
      <c r="A54" s="1" t="s">
        <v>557</v>
      </c>
      <c r="B54" s="2">
        <v>44946</v>
      </c>
      <c r="C54" s="1" t="s">
        <v>34</v>
      </c>
      <c r="D54" s="1" t="s">
        <v>71</v>
      </c>
      <c r="E54" s="1" t="s">
        <v>76</v>
      </c>
      <c r="F54" s="1" t="s">
        <v>47</v>
      </c>
      <c r="G54" s="1" t="s">
        <v>77</v>
      </c>
      <c r="H54">
        <v>50</v>
      </c>
      <c r="I54" s="4">
        <v>9697.08</v>
      </c>
      <c r="J54" s="4">
        <v>484854</v>
      </c>
      <c r="K54" s="6">
        <v>15</v>
      </c>
      <c r="L54" s="4">
        <v>412125.9</v>
      </c>
      <c r="M54" s="4">
        <v>255558.17</v>
      </c>
      <c r="N54" s="4">
        <v>156567.73000000001</v>
      </c>
      <c r="O54" s="6">
        <v>37.99</v>
      </c>
      <c r="P54" s="1" t="s">
        <v>31</v>
      </c>
      <c r="Q54" s="1" t="s">
        <v>38</v>
      </c>
      <c r="R54" s="1" t="s">
        <v>26</v>
      </c>
    </row>
    <row r="55" spans="1:18" x14ac:dyDescent="0.25">
      <c r="A55" s="1" t="s">
        <v>526</v>
      </c>
      <c r="B55" s="2">
        <v>45450</v>
      </c>
      <c r="C55" s="1" t="s">
        <v>19</v>
      </c>
      <c r="D55" s="1" t="s">
        <v>155</v>
      </c>
      <c r="E55" s="1" t="s">
        <v>85</v>
      </c>
      <c r="F55" s="1" t="s">
        <v>47</v>
      </c>
      <c r="G55" s="1" t="s">
        <v>48</v>
      </c>
      <c r="H55">
        <v>37</v>
      </c>
      <c r="I55" s="4">
        <v>13077.46</v>
      </c>
      <c r="J55" s="4">
        <v>483866.02</v>
      </c>
      <c r="K55" s="6">
        <v>15</v>
      </c>
      <c r="L55" s="4">
        <v>411286.12</v>
      </c>
      <c r="M55" s="4">
        <v>187078.25</v>
      </c>
      <c r="N55" s="4">
        <v>224207.87</v>
      </c>
      <c r="O55" s="6">
        <v>54.51</v>
      </c>
      <c r="P55" s="1" t="s">
        <v>44</v>
      </c>
      <c r="Q55" s="1" t="s">
        <v>32</v>
      </c>
      <c r="R55" s="1" t="s">
        <v>26</v>
      </c>
    </row>
    <row r="56" spans="1:18" x14ac:dyDescent="0.25">
      <c r="A56" s="1" t="s">
        <v>463</v>
      </c>
      <c r="B56" s="2">
        <v>44963</v>
      </c>
      <c r="C56" s="1" t="s">
        <v>58</v>
      </c>
      <c r="D56" s="1" t="s">
        <v>150</v>
      </c>
      <c r="E56" s="1" t="s">
        <v>85</v>
      </c>
      <c r="F56" s="1" t="s">
        <v>47</v>
      </c>
      <c r="G56" s="1" t="s">
        <v>160</v>
      </c>
      <c r="H56">
        <v>48</v>
      </c>
      <c r="I56" s="4">
        <v>9921.91</v>
      </c>
      <c r="J56" s="4">
        <v>476251.68</v>
      </c>
      <c r="K56" s="6">
        <v>0</v>
      </c>
      <c r="L56" s="4">
        <v>476251.68</v>
      </c>
      <c r="M56" s="4">
        <v>248142.32</v>
      </c>
      <c r="N56" s="4">
        <v>228109.36</v>
      </c>
      <c r="O56" s="6">
        <v>47.9</v>
      </c>
      <c r="P56" s="1" t="s">
        <v>31</v>
      </c>
      <c r="Q56" s="1" t="s">
        <v>25</v>
      </c>
      <c r="R56" s="1" t="s">
        <v>180</v>
      </c>
    </row>
    <row r="57" spans="1:18" x14ac:dyDescent="0.25">
      <c r="A57" s="1" t="s">
        <v>520</v>
      </c>
      <c r="B57" s="2">
        <v>45515</v>
      </c>
      <c r="C57" s="1" t="s">
        <v>19</v>
      </c>
      <c r="D57" s="1" t="s">
        <v>75</v>
      </c>
      <c r="E57" s="1" t="s">
        <v>120</v>
      </c>
      <c r="F57" s="1" t="s">
        <v>47</v>
      </c>
      <c r="G57" s="1" t="s">
        <v>48</v>
      </c>
      <c r="H57">
        <v>33</v>
      </c>
      <c r="I57" s="4">
        <v>14365.79</v>
      </c>
      <c r="J57" s="4">
        <v>474071.07</v>
      </c>
      <c r="K57" s="6">
        <v>20</v>
      </c>
      <c r="L57" s="4">
        <v>379256.86</v>
      </c>
      <c r="M57" s="4">
        <v>244220.26</v>
      </c>
      <c r="N57" s="4">
        <v>135036.6</v>
      </c>
      <c r="O57" s="6">
        <v>35.61</v>
      </c>
      <c r="P57" s="1" t="s">
        <v>44</v>
      </c>
      <c r="Q57" s="1" t="s">
        <v>63</v>
      </c>
      <c r="R57" s="1" t="s">
        <v>26</v>
      </c>
    </row>
    <row r="58" spans="1:18" x14ac:dyDescent="0.25">
      <c r="A58" s="1" t="s">
        <v>517</v>
      </c>
      <c r="B58" s="2">
        <v>44927</v>
      </c>
      <c r="C58" s="1" t="s">
        <v>34</v>
      </c>
      <c r="D58" s="1" t="s">
        <v>46</v>
      </c>
      <c r="E58" s="1" t="s">
        <v>104</v>
      </c>
      <c r="F58" s="1" t="s">
        <v>60</v>
      </c>
      <c r="G58" s="1" t="s">
        <v>61</v>
      </c>
      <c r="H58">
        <v>11</v>
      </c>
      <c r="I58" s="4">
        <v>40702.239999999998</v>
      </c>
      <c r="J58" s="4">
        <v>447724.64</v>
      </c>
      <c r="K58" s="6">
        <v>10</v>
      </c>
      <c r="L58" s="4">
        <v>402952.18</v>
      </c>
      <c r="M58" s="4">
        <v>190103.57</v>
      </c>
      <c r="N58" s="4">
        <v>212848.61</v>
      </c>
      <c r="O58" s="6">
        <v>52.82</v>
      </c>
      <c r="P58" s="1" t="s">
        <v>49</v>
      </c>
      <c r="Q58" s="1" t="s">
        <v>56</v>
      </c>
      <c r="R58" s="1" t="s">
        <v>26</v>
      </c>
    </row>
    <row r="59" spans="1:18" x14ac:dyDescent="0.25">
      <c r="A59" s="1" t="s">
        <v>603</v>
      </c>
      <c r="B59" s="2">
        <v>45643</v>
      </c>
      <c r="C59" s="1" t="s">
        <v>19</v>
      </c>
      <c r="D59" s="1" t="s">
        <v>20</v>
      </c>
      <c r="E59" s="1" t="s">
        <v>80</v>
      </c>
      <c r="F59" s="1" t="s">
        <v>60</v>
      </c>
      <c r="G59" s="1" t="s">
        <v>204</v>
      </c>
      <c r="H59">
        <v>11</v>
      </c>
      <c r="I59" s="4">
        <v>40587.760000000002</v>
      </c>
      <c r="J59" s="4">
        <v>446465.36</v>
      </c>
      <c r="K59" s="6">
        <v>20</v>
      </c>
      <c r="L59" s="4">
        <v>357172.29</v>
      </c>
      <c r="M59" s="4">
        <v>213688.1</v>
      </c>
      <c r="N59" s="4">
        <v>143484.19</v>
      </c>
      <c r="O59" s="6">
        <v>40.17</v>
      </c>
      <c r="P59" s="1" t="s">
        <v>31</v>
      </c>
      <c r="Q59" s="1" t="s">
        <v>25</v>
      </c>
      <c r="R59" s="1" t="s">
        <v>26</v>
      </c>
    </row>
    <row r="60" spans="1:18" x14ac:dyDescent="0.25">
      <c r="A60" s="1" t="s">
        <v>350</v>
      </c>
      <c r="B60" s="2">
        <v>45283</v>
      </c>
      <c r="C60" s="1" t="s">
        <v>58</v>
      </c>
      <c r="D60" s="1" t="s">
        <v>79</v>
      </c>
      <c r="E60" s="1" t="s">
        <v>36</v>
      </c>
      <c r="F60" s="1" t="s">
        <v>60</v>
      </c>
      <c r="G60" s="1" t="s">
        <v>188</v>
      </c>
      <c r="H60">
        <v>20</v>
      </c>
      <c r="I60" s="4">
        <v>21109.55</v>
      </c>
      <c r="J60" s="4">
        <v>422191</v>
      </c>
      <c r="K60" s="6">
        <v>5</v>
      </c>
      <c r="L60" s="4">
        <v>401081.45</v>
      </c>
      <c r="M60" s="4">
        <v>223135.43</v>
      </c>
      <c r="N60" s="4">
        <v>177946.02</v>
      </c>
      <c r="O60" s="6">
        <v>44.37</v>
      </c>
      <c r="P60" s="1" t="s">
        <v>62</v>
      </c>
      <c r="Q60" s="1" t="s">
        <v>56</v>
      </c>
      <c r="R60" s="1" t="s">
        <v>26</v>
      </c>
    </row>
    <row r="61" spans="1:18" x14ac:dyDescent="0.25">
      <c r="A61" s="1" t="s">
        <v>107</v>
      </c>
      <c r="B61" s="2">
        <v>45001</v>
      </c>
      <c r="C61" s="1" t="s">
        <v>34</v>
      </c>
      <c r="D61" s="1" t="s">
        <v>46</v>
      </c>
      <c r="E61" s="1" t="s">
        <v>80</v>
      </c>
      <c r="F61" s="1" t="s">
        <v>47</v>
      </c>
      <c r="G61" s="1" t="s">
        <v>108</v>
      </c>
      <c r="H61">
        <v>43</v>
      </c>
      <c r="I61" s="4">
        <v>9806.59</v>
      </c>
      <c r="J61" s="4">
        <v>421683.37</v>
      </c>
      <c r="K61" s="6">
        <v>15</v>
      </c>
      <c r="L61" s="4">
        <v>358430.86</v>
      </c>
      <c r="M61" s="4">
        <v>177370.64</v>
      </c>
      <c r="N61" s="4">
        <v>181060.22</v>
      </c>
      <c r="O61" s="6">
        <v>50.51</v>
      </c>
      <c r="P61" s="1" t="s">
        <v>24</v>
      </c>
      <c r="Q61" s="1" t="s">
        <v>32</v>
      </c>
      <c r="R61" s="1" t="s">
        <v>26</v>
      </c>
    </row>
    <row r="62" spans="1:18" x14ac:dyDescent="0.25">
      <c r="A62" s="1" t="s">
        <v>167</v>
      </c>
      <c r="B62" s="2">
        <v>45456</v>
      </c>
      <c r="C62" s="1" t="s">
        <v>51</v>
      </c>
      <c r="D62" s="1" t="s">
        <v>84</v>
      </c>
      <c r="E62" s="1" t="s">
        <v>139</v>
      </c>
      <c r="F62" s="1" t="s">
        <v>47</v>
      </c>
      <c r="G62" s="1" t="s">
        <v>48</v>
      </c>
      <c r="H62">
        <v>39</v>
      </c>
      <c r="I62" s="4">
        <v>10622.34</v>
      </c>
      <c r="J62" s="4">
        <v>414271.26</v>
      </c>
      <c r="K62" s="6">
        <v>10</v>
      </c>
      <c r="L62" s="4">
        <v>372844.13</v>
      </c>
      <c r="M62" s="4">
        <v>211304.68</v>
      </c>
      <c r="N62" s="4">
        <v>161539.45000000001</v>
      </c>
      <c r="O62" s="6">
        <v>43.33</v>
      </c>
      <c r="P62" s="1" t="s">
        <v>49</v>
      </c>
      <c r="Q62" s="1" t="s">
        <v>56</v>
      </c>
      <c r="R62" s="1" t="s">
        <v>26</v>
      </c>
    </row>
    <row r="63" spans="1:18" x14ac:dyDescent="0.25">
      <c r="A63" s="1" t="s">
        <v>248</v>
      </c>
      <c r="B63" s="2">
        <v>44965</v>
      </c>
      <c r="C63" s="1" t="s">
        <v>51</v>
      </c>
      <c r="D63" s="1" t="s">
        <v>88</v>
      </c>
      <c r="E63" s="1" t="s">
        <v>28</v>
      </c>
      <c r="F63" s="1" t="s">
        <v>47</v>
      </c>
      <c r="G63" s="1" t="s">
        <v>160</v>
      </c>
      <c r="H63">
        <v>50</v>
      </c>
      <c r="I63" s="4">
        <v>8257.64</v>
      </c>
      <c r="J63" s="4">
        <v>412882</v>
      </c>
      <c r="K63" s="6">
        <v>25</v>
      </c>
      <c r="L63" s="4">
        <v>309661.5</v>
      </c>
      <c r="M63" s="4">
        <v>205957.3</v>
      </c>
      <c r="N63" s="4">
        <v>103704.2</v>
      </c>
      <c r="O63" s="6">
        <v>33.49</v>
      </c>
      <c r="P63" s="1" t="s">
        <v>44</v>
      </c>
      <c r="Q63" s="1" t="s">
        <v>25</v>
      </c>
      <c r="R63" s="1" t="s">
        <v>26</v>
      </c>
    </row>
    <row r="64" spans="1:18" x14ac:dyDescent="0.25">
      <c r="A64" s="1" t="s">
        <v>205</v>
      </c>
      <c r="B64" s="2">
        <v>45361</v>
      </c>
      <c r="C64" s="1" t="s">
        <v>19</v>
      </c>
      <c r="D64" s="1" t="s">
        <v>155</v>
      </c>
      <c r="E64" s="1" t="s">
        <v>120</v>
      </c>
      <c r="F64" s="1" t="s">
        <v>47</v>
      </c>
      <c r="G64" s="1" t="s">
        <v>127</v>
      </c>
      <c r="H64">
        <v>29</v>
      </c>
      <c r="I64" s="4">
        <v>14197.7</v>
      </c>
      <c r="J64" s="4">
        <v>411733.3</v>
      </c>
      <c r="K64" s="6">
        <v>20</v>
      </c>
      <c r="L64" s="4">
        <v>329386.64</v>
      </c>
      <c r="M64" s="4">
        <v>161315.88</v>
      </c>
      <c r="N64" s="4">
        <v>168070.76</v>
      </c>
      <c r="O64" s="6">
        <v>51.03</v>
      </c>
      <c r="P64" s="1" t="s">
        <v>44</v>
      </c>
      <c r="Q64" s="1" t="s">
        <v>32</v>
      </c>
      <c r="R64" s="1" t="s">
        <v>26</v>
      </c>
    </row>
    <row r="65" spans="1:18" x14ac:dyDescent="0.25">
      <c r="A65" s="1" t="s">
        <v>264</v>
      </c>
      <c r="B65" s="2">
        <v>45262</v>
      </c>
      <c r="C65" s="1" t="s">
        <v>19</v>
      </c>
      <c r="D65" s="1" t="s">
        <v>155</v>
      </c>
      <c r="E65" s="1" t="s">
        <v>104</v>
      </c>
      <c r="F65" s="1" t="s">
        <v>60</v>
      </c>
      <c r="G65" s="1" t="s">
        <v>204</v>
      </c>
      <c r="H65">
        <v>12</v>
      </c>
      <c r="I65" s="4">
        <v>33092.080000000002</v>
      </c>
      <c r="J65" s="4">
        <v>397104.96</v>
      </c>
      <c r="K65" s="6">
        <v>10</v>
      </c>
      <c r="L65" s="4">
        <v>357394.46</v>
      </c>
      <c r="M65" s="4">
        <v>153958.16</v>
      </c>
      <c r="N65" s="4">
        <v>203436.3</v>
      </c>
      <c r="O65" s="6">
        <v>56.92</v>
      </c>
      <c r="P65" s="1" t="s">
        <v>44</v>
      </c>
      <c r="Q65" s="1" t="s">
        <v>38</v>
      </c>
      <c r="R65" s="1" t="s">
        <v>26</v>
      </c>
    </row>
    <row r="66" spans="1:18" x14ac:dyDescent="0.25">
      <c r="A66" s="1" t="s">
        <v>382</v>
      </c>
      <c r="B66" s="2">
        <v>45282</v>
      </c>
      <c r="C66" s="1" t="s">
        <v>34</v>
      </c>
      <c r="D66" s="1" t="s">
        <v>46</v>
      </c>
      <c r="E66" s="1" t="s">
        <v>65</v>
      </c>
      <c r="F66" s="1" t="s">
        <v>60</v>
      </c>
      <c r="G66" s="1" t="s">
        <v>89</v>
      </c>
      <c r="H66">
        <v>9</v>
      </c>
      <c r="I66" s="4">
        <v>42328.78</v>
      </c>
      <c r="J66" s="4">
        <v>380959.02</v>
      </c>
      <c r="K66" s="6">
        <v>5</v>
      </c>
      <c r="L66" s="4">
        <v>361911.07</v>
      </c>
      <c r="M66" s="4">
        <v>198661.63</v>
      </c>
      <c r="N66" s="4">
        <v>163249.44</v>
      </c>
      <c r="O66" s="6">
        <v>45.11</v>
      </c>
      <c r="P66" s="1" t="s">
        <v>31</v>
      </c>
      <c r="Q66" s="1" t="s">
        <v>25</v>
      </c>
      <c r="R66" s="1" t="s">
        <v>26</v>
      </c>
    </row>
    <row r="67" spans="1:18" x14ac:dyDescent="0.25">
      <c r="A67" s="1" t="s">
        <v>128</v>
      </c>
      <c r="B67" s="2">
        <v>45212</v>
      </c>
      <c r="C67" s="1" t="s">
        <v>51</v>
      </c>
      <c r="D67" s="1" t="s">
        <v>98</v>
      </c>
      <c r="E67" s="1" t="s">
        <v>129</v>
      </c>
      <c r="F67" s="1" t="s">
        <v>60</v>
      </c>
      <c r="G67" s="1" t="s">
        <v>61</v>
      </c>
      <c r="H67">
        <v>22</v>
      </c>
      <c r="I67" s="4">
        <v>17293.3</v>
      </c>
      <c r="J67" s="4">
        <v>380452.6</v>
      </c>
      <c r="K67" s="6">
        <v>0</v>
      </c>
      <c r="L67" s="4">
        <v>380452.6</v>
      </c>
      <c r="M67" s="4">
        <v>262537.68</v>
      </c>
      <c r="N67" s="4">
        <v>117914.92</v>
      </c>
      <c r="O67" s="6">
        <v>30.99</v>
      </c>
      <c r="P67" s="1" t="s">
        <v>44</v>
      </c>
      <c r="Q67" s="1" t="s">
        <v>63</v>
      </c>
      <c r="R67" s="1" t="s">
        <v>26</v>
      </c>
    </row>
    <row r="68" spans="1:18" x14ac:dyDescent="0.25">
      <c r="A68" s="1" t="s">
        <v>611</v>
      </c>
      <c r="B68" s="2">
        <v>45400</v>
      </c>
      <c r="C68" s="1" t="s">
        <v>58</v>
      </c>
      <c r="D68" s="1" t="s">
        <v>150</v>
      </c>
      <c r="E68" s="1" t="s">
        <v>85</v>
      </c>
      <c r="F68" s="1" t="s">
        <v>60</v>
      </c>
      <c r="G68" s="1" t="s">
        <v>188</v>
      </c>
      <c r="H68">
        <v>10</v>
      </c>
      <c r="I68" s="4">
        <v>37930.269999999997</v>
      </c>
      <c r="J68" s="4">
        <v>379302.7</v>
      </c>
      <c r="K68" s="6">
        <v>20</v>
      </c>
      <c r="L68" s="4">
        <v>303442.15999999997</v>
      </c>
      <c r="M68" s="4">
        <v>202935.62</v>
      </c>
      <c r="N68" s="4">
        <v>100506.54</v>
      </c>
      <c r="O68" s="6">
        <v>33.119999999999997</v>
      </c>
      <c r="P68" s="1" t="s">
        <v>62</v>
      </c>
      <c r="Q68" s="1" t="s">
        <v>63</v>
      </c>
      <c r="R68" s="1" t="s">
        <v>26</v>
      </c>
    </row>
    <row r="69" spans="1:18" x14ac:dyDescent="0.25">
      <c r="A69" s="1" t="s">
        <v>174</v>
      </c>
      <c r="B69" s="2">
        <v>45407</v>
      </c>
      <c r="C69" s="1" t="s">
        <v>19</v>
      </c>
      <c r="D69" s="1" t="s">
        <v>75</v>
      </c>
      <c r="E69" s="1" t="s">
        <v>112</v>
      </c>
      <c r="F69" s="1" t="s">
        <v>47</v>
      </c>
      <c r="G69" s="1" t="s">
        <v>127</v>
      </c>
      <c r="H69">
        <v>49</v>
      </c>
      <c r="I69" s="4">
        <v>7541.37</v>
      </c>
      <c r="J69" s="4">
        <v>369527.13</v>
      </c>
      <c r="K69" s="6">
        <v>0</v>
      </c>
      <c r="L69" s="4">
        <v>369527.13</v>
      </c>
      <c r="M69" s="4">
        <v>211450.54</v>
      </c>
      <c r="N69" s="4">
        <v>158076.59</v>
      </c>
      <c r="O69" s="6">
        <v>42.78</v>
      </c>
      <c r="P69" s="1" t="s">
        <v>62</v>
      </c>
      <c r="Q69" s="1" t="s">
        <v>32</v>
      </c>
      <c r="R69" s="1" t="s">
        <v>26</v>
      </c>
    </row>
    <row r="70" spans="1:18" x14ac:dyDescent="0.25">
      <c r="A70" s="1" t="s">
        <v>138</v>
      </c>
      <c r="B70" s="2">
        <v>45256</v>
      </c>
      <c r="C70" s="1" t="s">
        <v>58</v>
      </c>
      <c r="D70" s="1" t="s">
        <v>119</v>
      </c>
      <c r="E70" s="1" t="s">
        <v>139</v>
      </c>
      <c r="F70" s="1" t="s">
        <v>60</v>
      </c>
      <c r="G70" s="1" t="s">
        <v>131</v>
      </c>
      <c r="H70">
        <v>14</v>
      </c>
      <c r="I70" s="4">
        <v>26249.38</v>
      </c>
      <c r="J70" s="4">
        <v>367491.32</v>
      </c>
      <c r="K70" s="6">
        <v>20</v>
      </c>
      <c r="L70" s="4">
        <v>293993.06</v>
      </c>
      <c r="M70" s="4">
        <v>171103.51</v>
      </c>
      <c r="N70" s="4">
        <v>122889.55</v>
      </c>
      <c r="O70" s="6">
        <v>41.8</v>
      </c>
      <c r="P70" s="1" t="s">
        <v>62</v>
      </c>
      <c r="Q70" s="1" t="s">
        <v>32</v>
      </c>
      <c r="R70" s="1" t="s">
        <v>26</v>
      </c>
    </row>
    <row r="71" spans="1:18" x14ac:dyDescent="0.25">
      <c r="A71" s="1" t="s">
        <v>319</v>
      </c>
      <c r="B71" s="2">
        <v>45528</v>
      </c>
      <c r="C71" s="1" t="s">
        <v>51</v>
      </c>
      <c r="D71" s="1" t="s">
        <v>88</v>
      </c>
      <c r="E71" s="1" t="s">
        <v>112</v>
      </c>
      <c r="F71" s="1" t="s">
        <v>47</v>
      </c>
      <c r="G71" s="1" t="s">
        <v>108</v>
      </c>
      <c r="H71">
        <v>39</v>
      </c>
      <c r="I71" s="4">
        <v>9182.81</v>
      </c>
      <c r="J71" s="4">
        <v>358129.59</v>
      </c>
      <c r="K71" s="6">
        <v>0</v>
      </c>
      <c r="L71" s="4">
        <v>358129.59</v>
      </c>
      <c r="M71" s="4">
        <v>163467.89000000001</v>
      </c>
      <c r="N71" s="4">
        <v>194661.7</v>
      </c>
      <c r="O71" s="6">
        <v>54.36</v>
      </c>
      <c r="P71" s="1" t="s">
        <v>31</v>
      </c>
      <c r="Q71" s="1" t="s">
        <v>106</v>
      </c>
      <c r="R71" s="1" t="s">
        <v>26</v>
      </c>
    </row>
    <row r="72" spans="1:18" x14ac:dyDescent="0.25">
      <c r="A72" s="1" t="s">
        <v>351</v>
      </c>
      <c r="B72" s="2">
        <v>45620</v>
      </c>
      <c r="C72" s="1" t="s">
        <v>58</v>
      </c>
      <c r="D72" s="1" t="s">
        <v>59</v>
      </c>
      <c r="E72" s="1" t="s">
        <v>76</v>
      </c>
      <c r="F72" s="1" t="s">
        <v>60</v>
      </c>
      <c r="G72" s="1" t="s">
        <v>131</v>
      </c>
      <c r="H72">
        <v>46</v>
      </c>
      <c r="I72" s="4">
        <v>7613.05</v>
      </c>
      <c r="J72" s="4">
        <v>350200.3</v>
      </c>
      <c r="K72" s="6">
        <v>10</v>
      </c>
      <c r="L72" s="4">
        <v>315180.27</v>
      </c>
      <c r="M72" s="4">
        <v>187340.31</v>
      </c>
      <c r="N72" s="4">
        <v>127839.96</v>
      </c>
      <c r="O72" s="6">
        <v>40.56</v>
      </c>
      <c r="P72" s="1" t="s">
        <v>49</v>
      </c>
      <c r="Q72" s="1" t="s">
        <v>63</v>
      </c>
      <c r="R72" s="1" t="s">
        <v>26</v>
      </c>
    </row>
    <row r="73" spans="1:18" x14ac:dyDescent="0.25">
      <c r="A73" s="1" t="s">
        <v>273</v>
      </c>
      <c r="B73" s="2">
        <v>45515</v>
      </c>
      <c r="C73" s="1" t="s">
        <v>19</v>
      </c>
      <c r="D73" s="1" t="s">
        <v>20</v>
      </c>
      <c r="E73" s="1" t="s">
        <v>65</v>
      </c>
      <c r="F73" s="1" t="s">
        <v>47</v>
      </c>
      <c r="G73" s="1" t="s">
        <v>108</v>
      </c>
      <c r="H73">
        <v>47</v>
      </c>
      <c r="I73" s="4">
        <v>7362.44</v>
      </c>
      <c r="J73" s="4">
        <v>346034.68</v>
      </c>
      <c r="K73" s="6">
        <v>15</v>
      </c>
      <c r="L73" s="4">
        <v>294129.48</v>
      </c>
      <c r="M73" s="4">
        <v>185521.98</v>
      </c>
      <c r="N73" s="4">
        <v>108607.5</v>
      </c>
      <c r="O73" s="6">
        <v>36.93</v>
      </c>
      <c r="P73" s="1" t="s">
        <v>24</v>
      </c>
      <c r="Q73" s="1" t="s">
        <v>106</v>
      </c>
      <c r="R73" s="1" t="s">
        <v>26</v>
      </c>
    </row>
    <row r="74" spans="1:18" x14ac:dyDescent="0.25">
      <c r="A74" s="1" t="s">
        <v>405</v>
      </c>
      <c r="B74" s="2">
        <v>45431</v>
      </c>
      <c r="C74" s="1" t="s">
        <v>34</v>
      </c>
      <c r="D74" s="1" t="s">
        <v>71</v>
      </c>
      <c r="E74" s="1" t="s">
        <v>104</v>
      </c>
      <c r="F74" s="1" t="s">
        <v>60</v>
      </c>
      <c r="G74" s="1" t="s">
        <v>347</v>
      </c>
      <c r="H74">
        <v>37</v>
      </c>
      <c r="I74" s="4">
        <v>9212.4599999999991</v>
      </c>
      <c r="J74" s="4">
        <v>340861.02</v>
      </c>
      <c r="K74" s="6">
        <v>5</v>
      </c>
      <c r="L74" s="4">
        <v>323817.96999999997</v>
      </c>
      <c r="M74" s="4">
        <v>210808.43</v>
      </c>
      <c r="N74" s="4">
        <v>113009.54</v>
      </c>
      <c r="O74" s="6">
        <v>34.9</v>
      </c>
      <c r="P74" s="1" t="s">
        <v>31</v>
      </c>
      <c r="Q74" s="1" t="s">
        <v>38</v>
      </c>
      <c r="R74" s="1" t="s">
        <v>26</v>
      </c>
    </row>
    <row r="75" spans="1:18" x14ac:dyDescent="0.25">
      <c r="A75" s="1" t="s">
        <v>190</v>
      </c>
      <c r="B75" s="2">
        <v>45340</v>
      </c>
      <c r="C75" s="1" t="s">
        <v>58</v>
      </c>
      <c r="D75" s="1" t="s">
        <v>119</v>
      </c>
      <c r="E75" s="1" t="s">
        <v>120</v>
      </c>
      <c r="F75" s="1" t="s">
        <v>60</v>
      </c>
      <c r="G75" s="1" t="s">
        <v>184</v>
      </c>
      <c r="H75">
        <v>21</v>
      </c>
      <c r="I75" s="4">
        <v>15742.01</v>
      </c>
      <c r="J75" s="4">
        <v>330582.21000000002</v>
      </c>
      <c r="K75" s="6">
        <v>0</v>
      </c>
      <c r="L75" s="4">
        <v>330582.21000000002</v>
      </c>
      <c r="M75" s="4">
        <v>228450.63</v>
      </c>
      <c r="N75" s="4">
        <v>102131.58</v>
      </c>
      <c r="O75" s="6">
        <v>30.89</v>
      </c>
      <c r="P75" s="1" t="s">
        <v>31</v>
      </c>
      <c r="Q75" s="1" t="s">
        <v>56</v>
      </c>
      <c r="R75" s="1" t="s">
        <v>26</v>
      </c>
    </row>
    <row r="76" spans="1:18" x14ac:dyDescent="0.25">
      <c r="A76" s="1" t="s">
        <v>302</v>
      </c>
      <c r="B76" s="2">
        <v>45513</v>
      </c>
      <c r="C76" s="1" t="s">
        <v>51</v>
      </c>
      <c r="D76" s="1" t="s">
        <v>88</v>
      </c>
      <c r="E76" s="1" t="s">
        <v>21</v>
      </c>
      <c r="F76" s="1" t="s">
        <v>47</v>
      </c>
      <c r="G76" s="1" t="s">
        <v>108</v>
      </c>
      <c r="H76">
        <v>29</v>
      </c>
      <c r="I76" s="4">
        <v>11392.53</v>
      </c>
      <c r="J76" s="4">
        <v>330383.37</v>
      </c>
      <c r="K76" s="6">
        <v>10</v>
      </c>
      <c r="L76" s="4">
        <v>297345.03000000003</v>
      </c>
      <c r="M76" s="4">
        <v>145872.64000000001</v>
      </c>
      <c r="N76" s="4">
        <v>151472.39000000001</v>
      </c>
      <c r="O76" s="6">
        <v>50.94</v>
      </c>
      <c r="P76" s="1" t="s">
        <v>24</v>
      </c>
      <c r="Q76" s="1" t="s">
        <v>38</v>
      </c>
      <c r="R76" s="1" t="s">
        <v>26</v>
      </c>
    </row>
    <row r="77" spans="1:18" x14ac:dyDescent="0.25">
      <c r="A77" s="1" t="s">
        <v>453</v>
      </c>
      <c r="B77" s="2">
        <v>45079</v>
      </c>
      <c r="C77" s="1" t="s">
        <v>34</v>
      </c>
      <c r="D77" s="1" t="s">
        <v>46</v>
      </c>
      <c r="E77" s="1" t="s">
        <v>112</v>
      </c>
      <c r="F77" s="1" t="s">
        <v>60</v>
      </c>
      <c r="G77" s="1" t="s">
        <v>89</v>
      </c>
      <c r="H77">
        <v>6</v>
      </c>
      <c r="I77" s="4">
        <v>54487.3</v>
      </c>
      <c r="J77" s="4">
        <v>326923.8</v>
      </c>
      <c r="K77" s="6">
        <v>20</v>
      </c>
      <c r="L77" s="4">
        <v>261539.04</v>
      </c>
      <c r="M77" s="4">
        <v>157108.22</v>
      </c>
      <c r="N77" s="4">
        <v>104430.82</v>
      </c>
      <c r="O77" s="6">
        <v>39.93</v>
      </c>
      <c r="P77" s="1" t="s">
        <v>24</v>
      </c>
      <c r="Q77" s="1" t="s">
        <v>25</v>
      </c>
      <c r="R77" s="1" t="s">
        <v>26</v>
      </c>
    </row>
    <row r="78" spans="1:18" x14ac:dyDescent="0.25">
      <c r="A78" s="1" t="s">
        <v>390</v>
      </c>
      <c r="B78" s="2">
        <v>45600</v>
      </c>
      <c r="C78" s="1" t="s">
        <v>19</v>
      </c>
      <c r="D78" s="1" t="s">
        <v>159</v>
      </c>
      <c r="E78" s="1" t="s">
        <v>112</v>
      </c>
      <c r="F78" s="1" t="s">
        <v>81</v>
      </c>
      <c r="G78" s="1" t="s">
        <v>163</v>
      </c>
      <c r="H78">
        <v>45</v>
      </c>
      <c r="I78" s="4">
        <v>7042.15</v>
      </c>
      <c r="J78" s="4">
        <v>316896.75</v>
      </c>
      <c r="K78" s="6">
        <v>10</v>
      </c>
      <c r="L78" s="4">
        <v>285207.08</v>
      </c>
      <c r="M78" s="4">
        <v>114207.93</v>
      </c>
      <c r="N78" s="4">
        <v>170999.15</v>
      </c>
      <c r="O78" s="6">
        <v>59.96</v>
      </c>
      <c r="P78" s="1" t="s">
        <v>62</v>
      </c>
      <c r="Q78" s="1" t="s">
        <v>63</v>
      </c>
      <c r="R78" s="1" t="s">
        <v>26</v>
      </c>
    </row>
    <row r="79" spans="1:18" x14ac:dyDescent="0.25">
      <c r="A79" s="1" t="s">
        <v>222</v>
      </c>
      <c r="B79" s="2">
        <v>45367</v>
      </c>
      <c r="C79" s="1" t="s">
        <v>19</v>
      </c>
      <c r="D79" s="1" t="s">
        <v>159</v>
      </c>
      <c r="E79" s="1" t="s">
        <v>129</v>
      </c>
      <c r="F79" s="1" t="s">
        <v>47</v>
      </c>
      <c r="G79" s="1" t="s">
        <v>48</v>
      </c>
      <c r="H79">
        <v>39</v>
      </c>
      <c r="I79" s="4">
        <v>8122.66</v>
      </c>
      <c r="J79" s="4">
        <v>316783.74</v>
      </c>
      <c r="K79" s="6">
        <v>15</v>
      </c>
      <c r="L79" s="4">
        <v>269266.18</v>
      </c>
      <c r="M79" s="4">
        <v>148544.81</v>
      </c>
      <c r="N79" s="4">
        <v>120721.37</v>
      </c>
      <c r="O79" s="6">
        <v>44.83</v>
      </c>
      <c r="P79" s="1" t="s">
        <v>24</v>
      </c>
      <c r="Q79" s="1" t="s">
        <v>63</v>
      </c>
      <c r="R79" s="1" t="s">
        <v>26</v>
      </c>
    </row>
    <row r="80" spans="1:18" x14ac:dyDescent="0.25">
      <c r="A80" s="1" t="s">
        <v>444</v>
      </c>
      <c r="B80" s="2">
        <v>45575</v>
      </c>
      <c r="C80" s="1" t="s">
        <v>51</v>
      </c>
      <c r="D80" s="1" t="s">
        <v>98</v>
      </c>
      <c r="E80" s="1" t="s">
        <v>85</v>
      </c>
      <c r="F80" s="1" t="s">
        <v>81</v>
      </c>
      <c r="G80" s="1" t="s">
        <v>82</v>
      </c>
      <c r="H80">
        <v>49</v>
      </c>
      <c r="I80" s="4">
        <v>6282.07</v>
      </c>
      <c r="J80" s="4">
        <v>307821.43</v>
      </c>
      <c r="K80" s="6">
        <v>5</v>
      </c>
      <c r="L80" s="4">
        <v>292430.36</v>
      </c>
      <c r="M80" s="4">
        <v>170879.9</v>
      </c>
      <c r="N80" s="4">
        <v>121550.46</v>
      </c>
      <c r="O80" s="6">
        <v>41.57</v>
      </c>
      <c r="P80" s="1" t="s">
        <v>62</v>
      </c>
      <c r="Q80" s="1" t="s">
        <v>32</v>
      </c>
      <c r="R80" s="1" t="s">
        <v>26</v>
      </c>
    </row>
    <row r="81" spans="1:18" x14ac:dyDescent="0.25">
      <c r="A81" s="1" t="s">
        <v>250</v>
      </c>
      <c r="B81" s="2">
        <v>45243</v>
      </c>
      <c r="C81" s="1" t="s">
        <v>51</v>
      </c>
      <c r="D81" s="1" t="s">
        <v>52</v>
      </c>
      <c r="E81" s="1" t="s">
        <v>42</v>
      </c>
      <c r="F81" s="1" t="s">
        <v>81</v>
      </c>
      <c r="G81" s="1" t="s">
        <v>186</v>
      </c>
      <c r="H81">
        <v>48</v>
      </c>
      <c r="I81" s="4">
        <v>6313.64</v>
      </c>
      <c r="J81" s="4">
        <v>303054.71999999997</v>
      </c>
      <c r="K81" s="6">
        <v>5</v>
      </c>
      <c r="L81" s="4">
        <v>287901.98</v>
      </c>
      <c r="M81" s="4">
        <v>161283.65</v>
      </c>
      <c r="N81" s="4">
        <v>126618.33</v>
      </c>
      <c r="O81" s="6">
        <v>43.98</v>
      </c>
      <c r="P81" s="1" t="s">
        <v>62</v>
      </c>
      <c r="Q81" s="1" t="s">
        <v>106</v>
      </c>
      <c r="R81" s="1" t="s">
        <v>26</v>
      </c>
    </row>
    <row r="82" spans="1:18" x14ac:dyDescent="0.25">
      <c r="A82" s="1" t="s">
        <v>572</v>
      </c>
      <c r="B82" s="2">
        <v>45153</v>
      </c>
      <c r="C82" s="1" t="s">
        <v>58</v>
      </c>
      <c r="D82" s="1" t="s">
        <v>79</v>
      </c>
      <c r="E82" s="1" t="s">
        <v>36</v>
      </c>
      <c r="F82" s="1" t="s">
        <v>47</v>
      </c>
      <c r="G82" s="1" t="s">
        <v>202</v>
      </c>
      <c r="H82">
        <v>35</v>
      </c>
      <c r="I82" s="4">
        <v>8625.9699999999993</v>
      </c>
      <c r="J82" s="4">
        <v>301908.95</v>
      </c>
      <c r="K82" s="6">
        <v>10</v>
      </c>
      <c r="L82" s="4">
        <v>271718.05</v>
      </c>
      <c r="M82" s="4">
        <v>149640.70000000001</v>
      </c>
      <c r="N82" s="4">
        <v>122077.35</v>
      </c>
      <c r="O82" s="6">
        <v>44.93</v>
      </c>
      <c r="P82" s="1" t="s">
        <v>49</v>
      </c>
      <c r="Q82" s="1" t="s">
        <v>56</v>
      </c>
      <c r="R82" s="1" t="s">
        <v>26</v>
      </c>
    </row>
    <row r="83" spans="1:18" x14ac:dyDescent="0.25">
      <c r="A83" s="1" t="s">
        <v>584</v>
      </c>
      <c r="B83" s="2">
        <v>45318</v>
      </c>
      <c r="C83" s="1" t="s">
        <v>19</v>
      </c>
      <c r="D83" s="1" t="s">
        <v>75</v>
      </c>
      <c r="E83" s="1" t="s">
        <v>80</v>
      </c>
      <c r="F83" s="1" t="s">
        <v>47</v>
      </c>
      <c r="G83" s="1" t="s">
        <v>115</v>
      </c>
      <c r="H83">
        <v>22</v>
      </c>
      <c r="I83" s="4">
        <v>13493.62</v>
      </c>
      <c r="J83" s="4">
        <v>296859.64</v>
      </c>
      <c r="K83" s="6">
        <v>25</v>
      </c>
      <c r="L83" s="4">
        <v>222644.73</v>
      </c>
      <c r="M83" s="4">
        <v>98226</v>
      </c>
      <c r="N83" s="4">
        <v>124418.73</v>
      </c>
      <c r="O83" s="6">
        <v>55.88</v>
      </c>
      <c r="P83" s="1" t="s">
        <v>31</v>
      </c>
      <c r="Q83" s="1" t="s">
        <v>63</v>
      </c>
      <c r="R83" s="1" t="s">
        <v>26</v>
      </c>
    </row>
    <row r="84" spans="1:18" x14ac:dyDescent="0.25">
      <c r="A84" s="1" t="s">
        <v>512</v>
      </c>
      <c r="B84" s="2">
        <v>45497</v>
      </c>
      <c r="C84" s="1" t="s">
        <v>58</v>
      </c>
      <c r="D84" s="1" t="s">
        <v>119</v>
      </c>
      <c r="E84" s="1" t="s">
        <v>112</v>
      </c>
      <c r="F84" s="1" t="s">
        <v>47</v>
      </c>
      <c r="G84" s="1" t="s">
        <v>230</v>
      </c>
      <c r="H84">
        <v>26</v>
      </c>
      <c r="I84" s="4">
        <v>11410.34</v>
      </c>
      <c r="J84" s="4">
        <v>296668.84000000003</v>
      </c>
      <c r="K84" s="6">
        <v>15</v>
      </c>
      <c r="L84" s="4">
        <v>252168.51</v>
      </c>
      <c r="M84" s="4">
        <v>142634.45000000001</v>
      </c>
      <c r="N84" s="4">
        <v>109534.06</v>
      </c>
      <c r="O84" s="6">
        <v>43.44</v>
      </c>
      <c r="P84" s="1" t="s">
        <v>62</v>
      </c>
      <c r="Q84" s="1" t="s">
        <v>106</v>
      </c>
      <c r="R84" s="1" t="s">
        <v>26</v>
      </c>
    </row>
    <row r="85" spans="1:18" x14ac:dyDescent="0.25">
      <c r="A85" s="1" t="s">
        <v>554</v>
      </c>
      <c r="B85" s="2">
        <v>45282</v>
      </c>
      <c r="C85" s="1" t="s">
        <v>51</v>
      </c>
      <c r="D85" s="1" t="s">
        <v>91</v>
      </c>
      <c r="E85" s="1" t="s">
        <v>85</v>
      </c>
      <c r="F85" s="1" t="s">
        <v>60</v>
      </c>
      <c r="G85" s="1" t="s">
        <v>188</v>
      </c>
      <c r="H85">
        <v>15</v>
      </c>
      <c r="I85" s="4">
        <v>19550.98</v>
      </c>
      <c r="J85" s="4">
        <v>293264.7</v>
      </c>
      <c r="K85" s="6">
        <v>20</v>
      </c>
      <c r="L85" s="4">
        <v>234611.76</v>
      </c>
      <c r="M85" s="4">
        <v>149346.47</v>
      </c>
      <c r="N85" s="4">
        <v>85265.29</v>
      </c>
      <c r="O85" s="6">
        <v>36.340000000000003</v>
      </c>
      <c r="P85" s="1" t="s">
        <v>62</v>
      </c>
      <c r="Q85" s="1" t="s">
        <v>63</v>
      </c>
      <c r="R85" s="1" t="s">
        <v>26</v>
      </c>
    </row>
    <row r="86" spans="1:18" x14ac:dyDescent="0.25">
      <c r="A86" s="1" t="s">
        <v>393</v>
      </c>
      <c r="B86" s="2">
        <v>45261</v>
      </c>
      <c r="C86" s="1" t="s">
        <v>51</v>
      </c>
      <c r="D86" s="1" t="s">
        <v>98</v>
      </c>
      <c r="E86" s="1" t="s">
        <v>72</v>
      </c>
      <c r="F86" s="1" t="s">
        <v>47</v>
      </c>
      <c r="G86" s="1" t="s">
        <v>230</v>
      </c>
      <c r="H86">
        <v>21</v>
      </c>
      <c r="I86" s="4">
        <v>13916.51</v>
      </c>
      <c r="J86" s="4">
        <v>292246.71000000002</v>
      </c>
      <c r="K86" s="6">
        <v>15</v>
      </c>
      <c r="L86" s="4">
        <v>248409.7</v>
      </c>
      <c r="M86" s="4">
        <v>151583.99</v>
      </c>
      <c r="N86" s="4">
        <v>96825.71</v>
      </c>
      <c r="O86" s="6">
        <v>38.979999999999997</v>
      </c>
      <c r="P86" s="1" t="s">
        <v>44</v>
      </c>
      <c r="Q86" s="1" t="s">
        <v>32</v>
      </c>
      <c r="R86" s="1" t="s">
        <v>26</v>
      </c>
    </row>
    <row r="87" spans="1:18" x14ac:dyDescent="0.25">
      <c r="A87" s="1" t="s">
        <v>227</v>
      </c>
      <c r="B87" s="2">
        <v>45206</v>
      </c>
      <c r="C87" s="1" t="s">
        <v>51</v>
      </c>
      <c r="D87" s="1" t="s">
        <v>52</v>
      </c>
      <c r="E87" s="1" t="s">
        <v>104</v>
      </c>
      <c r="F87" s="1" t="s">
        <v>81</v>
      </c>
      <c r="G87" s="1" t="s">
        <v>105</v>
      </c>
      <c r="H87">
        <v>43</v>
      </c>
      <c r="I87" s="4">
        <v>6669.79</v>
      </c>
      <c r="J87" s="4">
        <v>286800.96999999997</v>
      </c>
      <c r="K87" s="6">
        <v>10</v>
      </c>
      <c r="L87" s="4">
        <v>258120.87</v>
      </c>
      <c r="M87" s="4">
        <v>105490.37</v>
      </c>
      <c r="N87" s="4">
        <v>152630.5</v>
      </c>
      <c r="O87" s="6">
        <v>59.13</v>
      </c>
      <c r="P87" s="1" t="s">
        <v>44</v>
      </c>
      <c r="Q87" s="1" t="s">
        <v>38</v>
      </c>
      <c r="R87" s="1" t="s">
        <v>26</v>
      </c>
    </row>
    <row r="88" spans="1:18" x14ac:dyDescent="0.25">
      <c r="A88" s="1" t="s">
        <v>375</v>
      </c>
      <c r="B88" s="2">
        <v>45366</v>
      </c>
      <c r="C88" s="1" t="s">
        <v>51</v>
      </c>
      <c r="D88" s="1" t="s">
        <v>88</v>
      </c>
      <c r="E88" s="1" t="s">
        <v>42</v>
      </c>
      <c r="F88" s="1" t="s">
        <v>60</v>
      </c>
      <c r="G88" s="1" t="s">
        <v>188</v>
      </c>
      <c r="H88">
        <v>8</v>
      </c>
      <c r="I88" s="4">
        <v>35702.78</v>
      </c>
      <c r="J88" s="4">
        <v>285622.24</v>
      </c>
      <c r="K88" s="6">
        <v>15</v>
      </c>
      <c r="L88" s="4">
        <v>242778.9</v>
      </c>
      <c r="M88" s="4">
        <v>122715.19</v>
      </c>
      <c r="N88" s="4">
        <v>120063.71</v>
      </c>
      <c r="O88" s="6">
        <v>49.45</v>
      </c>
      <c r="P88" s="1" t="s">
        <v>44</v>
      </c>
      <c r="Q88" s="1" t="s">
        <v>106</v>
      </c>
      <c r="R88" s="1" t="s">
        <v>26</v>
      </c>
    </row>
    <row r="89" spans="1:18" x14ac:dyDescent="0.25">
      <c r="A89" s="1" t="s">
        <v>513</v>
      </c>
      <c r="B89" s="2">
        <v>45602</v>
      </c>
      <c r="C89" s="1" t="s">
        <v>58</v>
      </c>
      <c r="D89" s="1" t="s">
        <v>59</v>
      </c>
      <c r="E89" s="1" t="s">
        <v>42</v>
      </c>
      <c r="F89" s="1" t="s">
        <v>47</v>
      </c>
      <c r="G89" s="1" t="s">
        <v>48</v>
      </c>
      <c r="H89">
        <v>46</v>
      </c>
      <c r="I89" s="4">
        <v>6182.6</v>
      </c>
      <c r="J89" s="4">
        <v>284399.59999999998</v>
      </c>
      <c r="K89" s="6">
        <v>5</v>
      </c>
      <c r="L89" s="4">
        <v>270179.62</v>
      </c>
      <c r="M89" s="4">
        <v>177372.83</v>
      </c>
      <c r="N89" s="4">
        <v>92806.79</v>
      </c>
      <c r="O89" s="6">
        <v>34.35</v>
      </c>
      <c r="P89" s="1" t="s">
        <v>24</v>
      </c>
      <c r="Q89" s="1" t="s">
        <v>63</v>
      </c>
      <c r="R89" s="1" t="s">
        <v>26</v>
      </c>
    </row>
    <row r="90" spans="1:18" x14ac:dyDescent="0.25">
      <c r="A90" s="1" t="s">
        <v>299</v>
      </c>
      <c r="B90" s="2">
        <v>45406</v>
      </c>
      <c r="C90" s="1" t="s">
        <v>19</v>
      </c>
      <c r="D90" s="1" t="s">
        <v>166</v>
      </c>
      <c r="E90" s="1" t="s">
        <v>112</v>
      </c>
      <c r="F90" s="1" t="s">
        <v>47</v>
      </c>
      <c r="G90" s="1" t="s">
        <v>77</v>
      </c>
      <c r="H90">
        <v>35</v>
      </c>
      <c r="I90" s="4">
        <v>8031.27</v>
      </c>
      <c r="J90" s="4">
        <v>281094.45</v>
      </c>
      <c r="K90" s="6">
        <v>5</v>
      </c>
      <c r="L90" s="4">
        <v>267039.73</v>
      </c>
      <c r="M90" s="4">
        <v>174995.92</v>
      </c>
      <c r="N90" s="4">
        <v>92043.81</v>
      </c>
      <c r="O90" s="6">
        <v>34.47</v>
      </c>
      <c r="P90" s="1" t="s">
        <v>44</v>
      </c>
      <c r="Q90" s="1" t="s">
        <v>106</v>
      </c>
      <c r="R90" s="1" t="s">
        <v>26</v>
      </c>
    </row>
    <row r="91" spans="1:18" x14ac:dyDescent="0.25">
      <c r="A91" s="1" t="s">
        <v>341</v>
      </c>
      <c r="B91" s="2">
        <v>45264</v>
      </c>
      <c r="C91" s="1" t="s">
        <v>19</v>
      </c>
      <c r="D91" s="1" t="s">
        <v>159</v>
      </c>
      <c r="E91" s="1" t="s">
        <v>129</v>
      </c>
      <c r="F91" s="1" t="s">
        <v>47</v>
      </c>
      <c r="G91" s="1" t="s">
        <v>202</v>
      </c>
      <c r="H91">
        <v>22</v>
      </c>
      <c r="I91" s="4">
        <v>12679.64</v>
      </c>
      <c r="J91" s="4">
        <v>278952.08</v>
      </c>
      <c r="K91" s="6">
        <v>15</v>
      </c>
      <c r="L91" s="4">
        <v>237109.27</v>
      </c>
      <c r="M91" s="4">
        <v>152039.9</v>
      </c>
      <c r="N91" s="4">
        <v>85069.37</v>
      </c>
      <c r="O91" s="6">
        <v>35.880000000000003</v>
      </c>
      <c r="P91" s="1" t="s">
        <v>62</v>
      </c>
      <c r="Q91" s="1" t="s">
        <v>38</v>
      </c>
      <c r="R91" s="1" t="s">
        <v>26</v>
      </c>
    </row>
    <row r="92" spans="1:18" x14ac:dyDescent="0.25">
      <c r="A92" s="1" t="s">
        <v>438</v>
      </c>
      <c r="B92" s="2">
        <v>45512</v>
      </c>
      <c r="C92" s="1" t="s">
        <v>58</v>
      </c>
      <c r="D92" s="1" t="s">
        <v>59</v>
      </c>
      <c r="E92" s="1" t="s">
        <v>129</v>
      </c>
      <c r="F92" s="1" t="s">
        <v>47</v>
      </c>
      <c r="G92" s="1" t="s">
        <v>108</v>
      </c>
      <c r="H92">
        <v>25</v>
      </c>
      <c r="I92" s="4">
        <v>11143.13</v>
      </c>
      <c r="J92" s="4">
        <v>278578.25</v>
      </c>
      <c r="K92" s="6">
        <v>20</v>
      </c>
      <c r="L92" s="4">
        <v>222862.6</v>
      </c>
      <c r="M92" s="4">
        <v>136485.67000000001</v>
      </c>
      <c r="N92" s="4">
        <v>86376.93</v>
      </c>
      <c r="O92" s="6">
        <v>38.76</v>
      </c>
      <c r="P92" s="1" t="s">
        <v>49</v>
      </c>
      <c r="Q92" s="1" t="s">
        <v>38</v>
      </c>
      <c r="R92" s="1" t="s">
        <v>26</v>
      </c>
    </row>
    <row r="93" spans="1:18" x14ac:dyDescent="0.25">
      <c r="A93" s="1" t="s">
        <v>196</v>
      </c>
      <c r="B93" s="2">
        <v>45319</v>
      </c>
      <c r="C93" s="1" t="s">
        <v>58</v>
      </c>
      <c r="D93" s="1" t="s">
        <v>59</v>
      </c>
      <c r="E93" s="1" t="s">
        <v>85</v>
      </c>
      <c r="F93" s="1" t="s">
        <v>47</v>
      </c>
      <c r="G93" s="1" t="s">
        <v>108</v>
      </c>
      <c r="H93">
        <v>21</v>
      </c>
      <c r="I93" s="4">
        <v>13089.66</v>
      </c>
      <c r="J93" s="4">
        <v>274882.86</v>
      </c>
      <c r="K93" s="6">
        <v>25</v>
      </c>
      <c r="L93" s="4">
        <v>206162.14</v>
      </c>
      <c r="M93" s="4">
        <v>97234.65</v>
      </c>
      <c r="N93" s="4">
        <v>108927.49</v>
      </c>
      <c r="O93" s="6">
        <v>52.84</v>
      </c>
      <c r="P93" s="1" t="s">
        <v>49</v>
      </c>
      <c r="Q93" s="1" t="s">
        <v>32</v>
      </c>
      <c r="R93" s="1" t="s">
        <v>180</v>
      </c>
    </row>
    <row r="94" spans="1:18" x14ac:dyDescent="0.25">
      <c r="A94" s="1" t="s">
        <v>87</v>
      </c>
      <c r="B94" s="2">
        <v>45170</v>
      </c>
      <c r="C94" s="1" t="s">
        <v>51</v>
      </c>
      <c r="D94" s="1" t="s">
        <v>88</v>
      </c>
      <c r="E94" s="1" t="s">
        <v>21</v>
      </c>
      <c r="F94" s="1" t="s">
        <v>60</v>
      </c>
      <c r="G94" s="1" t="s">
        <v>89</v>
      </c>
      <c r="H94">
        <v>5</v>
      </c>
      <c r="I94" s="4">
        <v>54400.86</v>
      </c>
      <c r="J94" s="4">
        <v>272004.3</v>
      </c>
      <c r="K94" s="6">
        <v>10</v>
      </c>
      <c r="L94" s="4">
        <v>244803.87</v>
      </c>
      <c r="M94" s="4">
        <v>103125.39</v>
      </c>
      <c r="N94" s="4">
        <v>141678.48000000001</v>
      </c>
      <c r="O94" s="6">
        <v>57.87</v>
      </c>
      <c r="P94" s="1" t="s">
        <v>44</v>
      </c>
      <c r="Q94" s="1" t="s">
        <v>63</v>
      </c>
      <c r="R94" s="1" t="s">
        <v>26</v>
      </c>
    </row>
    <row r="95" spans="1:18" x14ac:dyDescent="0.25">
      <c r="A95" s="1" t="s">
        <v>427</v>
      </c>
      <c r="B95" s="2">
        <v>45430</v>
      </c>
      <c r="C95" s="1" t="s">
        <v>19</v>
      </c>
      <c r="D95" s="1" t="s">
        <v>155</v>
      </c>
      <c r="E95" s="1" t="s">
        <v>76</v>
      </c>
      <c r="F95" s="1" t="s">
        <v>47</v>
      </c>
      <c r="G95" s="1" t="s">
        <v>48</v>
      </c>
      <c r="H95">
        <v>22</v>
      </c>
      <c r="I95" s="4">
        <v>12324.7</v>
      </c>
      <c r="J95" s="4">
        <v>271143.40000000002</v>
      </c>
      <c r="K95" s="6">
        <v>10</v>
      </c>
      <c r="L95" s="4">
        <v>244029.06</v>
      </c>
      <c r="M95" s="4">
        <v>120375.82</v>
      </c>
      <c r="N95" s="4">
        <v>123653.24</v>
      </c>
      <c r="O95" s="6">
        <v>50.67</v>
      </c>
      <c r="P95" s="1" t="s">
        <v>24</v>
      </c>
      <c r="Q95" s="1" t="s">
        <v>106</v>
      </c>
      <c r="R95" s="1" t="s">
        <v>26</v>
      </c>
    </row>
    <row r="96" spans="1:18" x14ac:dyDescent="0.25">
      <c r="A96" s="1" t="s">
        <v>290</v>
      </c>
      <c r="B96" s="2">
        <v>45440</v>
      </c>
      <c r="C96" s="1" t="s">
        <v>19</v>
      </c>
      <c r="D96" s="1" t="s">
        <v>159</v>
      </c>
      <c r="E96" s="1" t="s">
        <v>36</v>
      </c>
      <c r="F96" s="1" t="s">
        <v>60</v>
      </c>
      <c r="G96" s="1" t="s">
        <v>184</v>
      </c>
      <c r="H96">
        <v>27</v>
      </c>
      <c r="I96" s="4">
        <v>9764.73</v>
      </c>
      <c r="J96" s="4">
        <v>263647.71000000002</v>
      </c>
      <c r="K96" s="6">
        <v>25</v>
      </c>
      <c r="L96" s="4">
        <v>197735.78</v>
      </c>
      <c r="M96" s="4">
        <v>91189.32</v>
      </c>
      <c r="N96" s="4">
        <v>106546.46</v>
      </c>
      <c r="O96" s="6">
        <v>53.88</v>
      </c>
      <c r="P96" s="1" t="s">
        <v>31</v>
      </c>
      <c r="Q96" s="1" t="s">
        <v>32</v>
      </c>
      <c r="R96" s="1" t="s">
        <v>26</v>
      </c>
    </row>
    <row r="97" spans="1:18" x14ac:dyDescent="0.25">
      <c r="A97" s="1" t="s">
        <v>606</v>
      </c>
      <c r="B97" s="2">
        <v>45550</v>
      </c>
      <c r="C97" s="1" t="s">
        <v>19</v>
      </c>
      <c r="D97" s="1" t="s">
        <v>20</v>
      </c>
      <c r="E97" s="1" t="s">
        <v>85</v>
      </c>
      <c r="F97" s="1" t="s">
        <v>81</v>
      </c>
      <c r="G97" s="1" t="s">
        <v>134</v>
      </c>
      <c r="H97">
        <v>47</v>
      </c>
      <c r="I97" s="4">
        <v>5571.5</v>
      </c>
      <c r="J97" s="4">
        <v>261860.5</v>
      </c>
      <c r="K97" s="6">
        <v>25</v>
      </c>
      <c r="L97" s="4">
        <v>196395.38</v>
      </c>
      <c r="M97" s="4">
        <v>95478.83</v>
      </c>
      <c r="N97" s="4">
        <v>100916.55</v>
      </c>
      <c r="O97" s="6">
        <v>51.38</v>
      </c>
      <c r="P97" s="1" t="s">
        <v>44</v>
      </c>
      <c r="Q97" s="1" t="s">
        <v>38</v>
      </c>
      <c r="R97" s="1" t="s">
        <v>26</v>
      </c>
    </row>
    <row r="98" spans="1:18" x14ac:dyDescent="0.25">
      <c r="A98" s="1" t="s">
        <v>354</v>
      </c>
      <c r="B98" s="2">
        <v>45428</v>
      </c>
      <c r="C98" s="1" t="s">
        <v>19</v>
      </c>
      <c r="D98" s="1" t="s">
        <v>75</v>
      </c>
      <c r="E98" s="1" t="s">
        <v>36</v>
      </c>
      <c r="F98" s="1" t="s">
        <v>60</v>
      </c>
      <c r="G98" s="1" t="s">
        <v>188</v>
      </c>
      <c r="H98">
        <v>21</v>
      </c>
      <c r="I98" s="4">
        <v>12466.8</v>
      </c>
      <c r="J98" s="4">
        <v>261802.8</v>
      </c>
      <c r="K98" s="6">
        <v>0</v>
      </c>
      <c r="L98" s="4">
        <v>261802.8</v>
      </c>
      <c r="M98" s="4">
        <v>125326.58</v>
      </c>
      <c r="N98" s="4">
        <v>136476.22</v>
      </c>
      <c r="O98" s="6">
        <v>52.13</v>
      </c>
      <c r="P98" s="1" t="s">
        <v>31</v>
      </c>
      <c r="Q98" s="1" t="s">
        <v>63</v>
      </c>
      <c r="R98" s="1" t="s">
        <v>26</v>
      </c>
    </row>
    <row r="99" spans="1:18" x14ac:dyDescent="0.25">
      <c r="A99" s="1" t="s">
        <v>306</v>
      </c>
      <c r="B99" s="2">
        <v>45080</v>
      </c>
      <c r="C99" s="1" t="s">
        <v>34</v>
      </c>
      <c r="D99" s="1" t="s">
        <v>35</v>
      </c>
      <c r="E99" s="1" t="s">
        <v>76</v>
      </c>
      <c r="F99" s="1" t="s">
        <v>81</v>
      </c>
      <c r="G99" s="1" t="s">
        <v>134</v>
      </c>
      <c r="H99">
        <v>36</v>
      </c>
      <c r="I99" s="4">
        <v>7242.53</v>
      </c>
      <c r="J99" s="4">
        <v>260731.08</v>
      </c>
      <c r="K99" s="6">
        <v>5</v>
      </c>
      <c r="L99" s="4">
        <v>247694.53</v>
      </c>
      <c r="M99" s="4">
        <v>141634.32999999999</v>
      </c>
      <c r="N99" s="4">
        <v>106060.2</v>
      </c>
      <c r="O99" s="6">
        <v>42.82</v>
      </c>
      <c r="P99" s="1" t="s">
        <v>49</v>
      </c>
      <c r="Q99" s="1" t="s">
        <v>38</v>
      </c>
      <c r="R99" s="1" t="s">
        <v>26</v>
      </c>
    </row>
    <row r="100" spans="1:18" x14ac:dyDescent="0.25">
      <c r="A100" s="1" t="s">
        <v>388</v>
      </c>
      <c r="B100" s="2">
        <v>45504</v>
      </c>
      <c r="C100" s="1" t="s">
        <v>58</v>
      </c>
      <c r="D100" s="1" t="s">
        <v>59</v>
      </c>
      <c r="E100" s="1" t="s">
        <v>120</v>
      </c>
      <c r="F100" s="1" t="s">
        <v>47</v>
      </c>
      <c r="G100" s="1" t="s">
        <v>48</v>
      </c>
      <c r="H100">
        <v>36</v>
      </c>
      <c r="I100" s="4">
        <v>7041.33</v>
      </c>
      <c r="J100" s="4">
        <v>253487.88</v>
      </c>
      <c r="K100" s="6">
        <v>10</v>
      </c>
      <c r="L100" s="4">
        <v>228139.09</v>
      </c>
      <c r="M100" s="4">
        <v>104989.92</v>
      </c>
      <c r="N100" s="4">
        <v>123149.17</v>
      </c>
      <c r="O100" s="6">
        <v>53.98</v>
      </c>
      <c r="P100" s="1" t="s">
        <v>44</v>
      </c>
      <c r="Q100" s="1" t="s">
        <v>63</v>
      </c>
      <c r="R100" s="1" t="s">
        <v>26</v>
      </c>
    </row>
    <row r="101" spans="1:18" x14ac:dyDescent="0.25">
      <c r="A101" s="1" t="s">
        <v>460</v>
      </c>
      <c r="B101" s="2">
        <v>45619</v>
      </c>
      <c r="C101" s="1" t="s">
        <v>51</v>
      </c>
      <c r="D101" s="1" t="s">
        <v>84</v>
      </c>
      <c r="E101" s="1" t="s">
        <v>129</v>
      </c>
      <c r="F101" s="1" t="s">
        <v>81</v>
      </c>
      <c r="G101" s="1" t="s">
        <v>134</v>
      </c>
      <c r="H101">
        <v>43</v>
      </c>
      <c r="I101" s="4">
        <v>5867.89</v>
      </c>
      <c r="J101" s="4">
        <v>252319.27</v>
      </c>
      <c r="K101" s="6">
        <v>15</v>
      </c>
      <c r="L101" s="4">
        <v>214471.38</v>
      </c>
      <c r="M101" s="4">
        <v>108034.56</v>
      </c>
      <c r="N101" s="4">
        <v>106436.82</v>
      </c>
      <c r="O101" s="6">
        <v>49.63</v>
      </c>
      <c r="P101" s="1" t="s">
        <v>62</v>
      </c>
      <c r="Q101" s="1" t="s">
        <v>106</v>
      </c>
      <c r="R101" s="1" t="s">
        <v>26</v>
      </c>
    </row>
    <row r="102" spans="1:18" x14ac:dyDescent="0.25">
      <c r="A102" s="1" t="s">
        <v>229</v>
      </c>
      <c r="B102" s="2">
        <v>44980</v>
      </c>
      <c r="C102" s="1" t="s">
        <v>34</v>
      </c>
      <c r="D102" s="1" t="s">
        <v>46</v>
      </c>
      <c r="E102" s="1" t="s">
        <v>65</v>
      </c>
      <c r="F102" s="1" t="s">
        <v>47</v>
      </c>
      <c r="G102" s="1" t="s">
        <v>230</v>
      </c>
      <c r="H102">
        <v>21</v>
      </c>
      <c r="I102" s="4">
        <v>11730.64</v>
      </c>
      <c r="J102" s="4">
        <v>246343.44</v>
      </c>
      <c r="K102" s="6">
        <v>20</v>
      </c>
      <c r="L102" s="4">
        <v>197074.75</v>
      </c>
      <c r="M102" s="4">
        <v>114080.1</v>
      </c>
      <c r="N102" s="4">
        <v>82994.649999999994</v>
      </c>
      <c r="O102" s="6">
        <v>42.11</v>
      </c>
      <c r="P102" s="1" t="s">
        <v>49</v>
      </c>
      <c r="Q102" s="1" t="s">
        <v>106</v>
      </c>
      <c r="R102" s="1" t="s">
        <v>26</v>
      </c>
    </row>
    <row r="103" spans="1:18" x14ac:dyDescent="0.25">
      <c r="A103" s="1" t="s">
        <v>391</v>
      </c>
      <c r="B103" s="2">
        <v>45022</v>
      </c>
      <c r="C103" s="1" t="s">
        <v>19</v>
      </c>
      <c r="D103" s="1" t="s">
        <v>159</v>
      </c>
      <c r="E103" s="1" t="s">
        <v>129</v>
      </c>
      <c r="F103" s="1" t="s">
        <v>81</v>
      </c>
      <c r="G103" s="1" t="s">
        <v>110</v>
      </c>
      <c r="H103">
        <v>32</v>
      </c>
      <c r="I103" s="4">
        <v>7697.24</v>
      </c>
      <c r="J103" s="4">
        <v>246311.67999999999</v>
      </c>
      <c r="K103" s="6">
        <v>5</v>
      </c>
      <c r="L103" s="4">
        <v>233996.1</v>
      </c>
      <c r="M103" s="4">
        <v>143555.60999999999</v>
      </c>
      <c r="N103" s="4">
        <v>90440.49</v>
      </c>
      <c r="O103" s="6">
        <v>38.65</v>
      </c>
      <c r="P103" s="1" t="s">
        <v>24</v>
      </c>
      <c r="Q103" s="1" t="s">
        <v>106</v>
      </c>
      <c r="R103" s="1" t="s">
        <v>26</v>
      </c>
    </row>
    <row r="104" spans="1:18" x14ac:dyDescent="0.25">
      <c r="A104" s="1" t="s">
        <v>261</v>
      </c>
      <c r="B104" s="2">
        <v>45250</v>
      </c>
      <c r="C104" s="1" t="s">
        <v>51</v>
      </c>
      <c r="D104" s="1" t="s">
        <v>98</v>
      </c>
      <c r="E104" s="1" t="s">
        <v>76</v>
      </c>
      <c r="F104" s="1" t="s">
        <v>60</v>
      </c>
      <c r="G104" s="1" t="s">
        <v>184</v>
      </c>
      <c r="H104">
        <v>19</v>
      </c>
      <c r="I104" s="4">
        <v>12734.19</v>
      </c>
      <c r="J104" s="4">
        <v>241949.61</v>
      </c>
      <c r="K104" s="6">
        <v>5</v>
      </c>
      <c r="L104" s="4">
        <v>229852.13</v>
      </c>
      <c r="M104" s="4">
        <v>153021.09</v>
      </c>
      <c r="N104" s="4">
        <v>76831.039999999994</v>
      </c>
      <c r="O104" s="6">
        <v>33.43</v>
      </c>
      <c r="P104" s="1" t="s">
        <v>44</v>
      </c>
      <c r="Q104" s="1" t="s">
        <v>25</v>
      </c>
      <c r="R104" s="1" t="s">
        <v>26</v>
      </c>
    </row>
    <row r="105" spans="1:18" x14ac:dyDescent="0.25">
      <c r="A105" s="1" t="s">
        <v>378</v>
      </c>
      <c r="B105" s="2">
        <v>45409</v>
      </c>
      <c r="C105" s="1" t="s">
        <v>19</v>
      </c>
      <c r="D105" s="1" t="s">
        <v>166</v>
      </c>
      <c r="E105" s="1" t="s">
        <v>129</v>
      </c>
      <c r="F105" s="1" t="s">
        <v>47</v>
      </c>
      <c r="G105" s="1" t="s">
        <v>127</v>
      </c>
      <c r="H105">
        <v>37</v>
      </c>
      <c r="I105" s="4">
        <v>6515.65</v>
      </c>
      <c r="J105" s="4">
        <v>241079.05</v>
      </c>
      <c r="K105" s="6">
        <v>20</v>
      </c>
      <c r="L105" s="4">
        <v>192863.24</v>
      </c>
      <c r="M105" s="4">
        <v>116659.62</v>
      </c>
      <c r="N105" s="4">
        <v>76203.62</v>
      </c>
      <c r="O105" s="6">
        <v>39.51</v>
      </c>
      <c r="P105" s="1" t="s">
        <v>24</v>
      </c>
      <c r="Q105" s="1" t="s">
        <v>56</v>
      </c>
      <c r="R105" s="1" t="s">
        <v>26</v>
      </c>
    </row>
    <row r="106" spans="1:18" x14ac:dyDescent="0.25">
      <c r="A106" s="1" t="s">
        <v>607</v>
      </c>
      <c r="B106" s="2">
        <v>45551</v>
      </c>
      <c r="C106" s="1" t="s">
        <v>34</v>
      </c>
      <c r="D106" s="1" t="s">
        <v>46</v>
      </c>
      <c r="E106" s="1" t="s">
        <v>28</v>
      </c>
      <c r="F106" s="1" t="s">
        <v>81</v>
      </c>
      <c r="G106" s="1" t="s">
        <v>92</v>
      </c>
      <c r="H106">
        <v>47</v>
      </c>
      <c r="I106" s="4">
        <v>5128.49</v>
      </c>
      <c r="J106" s="4">
        <v>241039.03</v>
      </c>
      <c r="K106" s="6">
        <v>15</v>
      </c>
      <c r="L106" s="4">
        <v>204883.18</v>
      </c>
      <c r="M106" s="4">
        <v>131615.75</v>
      </c>
      <c r="N106" s="4">
        <v>73267.429999999993</v>
      </c>
      <c r="O106" s="6">
        <v>35.76</v>
      </c>
      <c r="P106" s="1" t="s">
        <v>49</v>
      </c>
      <c r="Q106" s="1" t="s">
        <v>63</v>
      </c>
      <c r="R106" s="1" t="s">
        <v>26</v>
      </c>
    </row>
    <row r="107" spans="1:18" x14ac:dyDescent="0.25">
      <c r="A107" s="1" t="s">
        <v>434</v>
      </c>
      <c r="B107" s="2">
        <v>45284</v>
      </c>
      <c r="C107" s="1" t="s">
        <v>51</v>
      </c>
      <c r="D107" s="1" t="s">
        <v>84</v>
      </c>
      <c r="E107" s="1" t="s">
        <v>65</v>
      </c>
      <c r="F107" s="1" t="s">
        <v>81</v>
      </c>
      <c r="G107" s="1" t="s">
        <v>186</v>
      </c>
      <c r="H107">
        <v>46</v>
      </c>
      <c r="I107" s="4">
        <v>5213.37</v>
      </c>
      <c r="J107" s="4">
        <v>239815.02</v>
      </c>
      <c r="K107" s="6">
        <v>15</v>
      </c>
      <c r="L107" s="4">
        <v>203842.77</v>
      </c>
      <c r="M107" s="4">
        <v>136298.43</v>
      </c>
      <c r="N107" s="4">
        <v>67544.34</v>
      </c>
      <c r="O107" s="6">
        <v>33.14</v>
      </c>
      <c r="P107" s="1" t="s">
        <v>62</v>
      </c>
      <c r="Q107" s="1" t="s">
        <v>38</v>
      </c>
      <c r="R107" s="1" t="s">
        <v>26</v>
      </c>
    </row>
    <row r="108" spans="1:18" x14ac:dyDescent="0.25">
      <c r="A108" s="1" t="s">
        <v>473</v>
      </c>
      <c r="B108" s="2">
        <v>45200</v>
      </c>
      <c r="C108" s="1" t="s">
        <v>34</v>
      </c>
      <c r="D108" s="1" t="s">
        <v>133</v>
      </c>
      <c r="E108" s="1" t="s">
        <v>76</v>
      </c>
      <c r="F108" s="1" t="s">
        <v>60</v>
      </c>
      <c r="G108" s="1" t="s">
        <v>121</v>
      </c>
      <c r="H108">
        <v>25</v>
      </c>
      <c r="I108" s="4">
        <v>9403.34</v>
      </c>
      <c r="J108" s="4">
        <v>235083.5</v>
      </c>
      <c r="K108" s="6">
        <v>25</v>
      </c>
      <c r="L108" s="4">
        <v>176312.62</v>
      </c>
      <c r="M108" s="4">
        <v>73519.09</v>
      </c>
      <c r="N108" s="4">
        <v>102793.53</v>
      </c>
      <c r="O108" s="6">
        <v>58.3</v>
      </c>
      <c r="P108" s="1" t="s">
        <v>49</v>
      </c>
      <c r="Q108" s="1" t="s">
        <v>38</v>
      </c>
      <c r="R108" s="1" t="s">
        <v>26</v>
      </c>
    </row>
    <row r="109" spans="1:18" x14ac:dyDescent="0.25">
      <c r="A109" s="1" t="s">
        <v>487</v>
      </c>
      <c r="B109" s="2">
        <v>45015</v>
      </c>
      <c r="C109" s="1" t="s">
        <v>19</v>
      </c>
      <c r="D109" s="1" t="s">
        <v>75</v>
      </c>
      <c r="E109" s="1" t="s">
        <v>36</v>
      </c>
      <c r="F109" s="1" t="s">
        <v>60</v>
      </c>
      <c r="G109" s="1" t="s">
        <v>121</v>
      </c>
      <c r="H109">
        <v>33</v>
      </c>
      <c r="I109" s="4">
        <v>7083.22</v>
      </c>
      <c r="J109" s="4">
        <v>233746.26</v>
      </c>
      <c r="K109" s="6">
        <v>25</v>
      </c>
      <c r="L109" s="4">
        <v>175309.7</v>
      </c>
      <c r="M109" s="4">
        <v>85972.79</v>
      </c>
      <c r="N109" s="4">
        <v>89336.91</v>
      </c>
      <c r="O109" s="6">
        <v>50.96</v>
      </c>
      <c r="P109" s="1" t="s">
        <v>44</v>
      </c>
      <c r="Q109" s="1" t="s">
        <v>32</v>
      </c>
      <c r="R109" s="1" t="s">
        <v>26</v>
      </c>
    </row>
    <row r="110" spans="1:18" x14ac:dyDescent="0.25">
      <c r="A110" s="1" t="s">
        <v>594</v>
      </c>
      <c r="B110" s="2">
        <v>45359</v>
      </c>
      <c r="C110" s="1" t="s">
        <v>19</v>
      </c>
      <c r="D110" s="1" t="s">
        <v>159</v>
      </c>
      <c r="E110" s="1" t="s">
        <v>129</v>
      </c>
      <c r="F110" s="1" t="s">
        <v>47</v>
      </c>
      <c r="G110" s="1" t="s">
        <v>77</v>
      </c>
      <c r="H110">
        <v>20</v>
      </c>
      <c r="I110" s="4">
        <v>11684.37</v>
      </c>
      <c r="J110" s="4">
        <v>233687.4</v>
      </c>
      <c r="K110" s="6">
        <v>10</v>
      </c>
      <c r="L110" s="4">
        <v>210318.66</v>
      </c>
      <c r="M110" s="4">
        <v>113236.44</v>
      </c>
      <c r="N110" s="4">
        <v>97082.22</v>
      </c>
      <c r="O110" s="6">
        <v>46.16</v>
      </c>
      <c r="P110" s="1" t="s">
        <v>44</v>
      </c>
      <c r="Q110" s="1" t="s">
        <v>25</v>
      </c>
      <c r="R110" s="1" t="s">
        <v>26</v>
      </c>
    </row>
    <row r="111" spans="1:18" x14ac:dyDescent="0.25">
      <c r="A111" s="1" t="s">
        <v>252</v>
      </c>
      <c r="B111" s="2">
        <v>45091</v>
      </c>
      <c r="C111" s="1" t="s">
        <v>58</v>
      </c>
      <c r="D111" s="1" t="s">
        <v>59</v>
      </c>
      <c r="E111" s="1" t="s">
        <v>65</v>
      </c>
      <c r="F111" s="1" t="s">
        <v>81</v>
      </c>
      <c r="G111" s="1" t="s">
        <v>134</v>
      </c>
      <c r="H111">
        <v>34</v>
      </c>
      <c r="I111" s="4">
        <v>6839.1</v>
      </c>
      <c r="J111" s="4">
        <v>232529.4</v>
      </c>
      <c r="K111" s="6">
        <v>10</v>
      </c>
      <c r="L111" s="4">
        <v>209276.46</v>
      </c>
      <c r="M111" s="4">
        <v>88976.51</v>
      </c>
      <c r="N111" s="4">
        <v>120299.95</v>
      </c>
      <c r="O111" s="6">
        <v>57.48</v>
      </c>
      <c r="P111" s="1" t="s">
        <v>44</v>
      </c>
      <c r="Q111" s="1" t="s">
        <v>32</v>
      </c>
      <c r="R111" s="1" t="s">
        <v>26</v>
      </c>
    </row>
    <row r="112" spans="1:18" x14ac:dyDescent="0.25">
      <c r="A112" s="1" t="s">
        <v>236</v>
      </c>
      <c r="B112" s="2">
        <v>45633</v>
      </c>
      <c r="C112" s="1" t="s">
        <v>58</v>
      </c>
      <c r="D112" s="1" t="s">
        <v>59</v>
      </c>
      <c r="E112" s="1" t="s">
        <v>76</v>
      </c>
      <c r="F112" s="1" t="s">
        <v>60</v>
      </c>
      <c r="G112" s="1" t="s">
        <v>204</v>
      </c>
      <c r="H112">
        <v>21</v>
      </c>
      <c r="I112" s="4">
        <v>10974.89</v>
      </c>
      <c r="J112" s="4">
        <v>230472.69</v>
      </c>
      <c r="K112" s="6">
        <v>20</v>
      </c>
      <c r="L112" s="4">
        <v>184378.15</v>
      </c>
      <c r="M112" s="4">
        <v>99200.8</v>
      </c>
      <c r="N112" s="4">
        <v>85177.35</v>
      </c>
      <c r="O112" s="6">
        <v>46.2</v>
      </c>
      <c r="P112" s="1" t="s">
        <v>44</v>
      </c>
      <c r="Q112" s="1" t="s">
        <v>56</v>
      </c>
      <c r="R112" s="1" t="s">
        <v>26</v>
      </c>
    </row>
    <row r="113" spans="1:18" x14ac:dyDescent="0.25">
      <c r="A113" s="1" t="s">
        <v>149</v>
      </c>
      <c r="B113" s="2">
        <v>45287</v>
      </c>
      <c r="C113" s="1" t="s">
        <v>58</v>
      </c>
      <c r="D113" s="1" t="s">
        <v>150</v>
      </c>
      <c r="E113" s="1" t="s">
        <v>72</v>
      </c>
      <c r="F113" s="1" t="s">
        <v>81</v>
      </c>
      <c r="G113" s="1" t="s">
        <v>105</v>
      </c>
      <c r="H113">
        <v>49</v>
      </c>
      <c r="I113" s="4">
        <v>4690.38</v>
      </c>
      <c r="J113" s="4">
        <v>229828.62</v>
      </c>
      <c r="K113" s="6">
        <v>15</v>
      </c>
      <c r="L113" s="4">
        <v>195354.33</v>
      </c>
      <c r="M113" s="4">
        <v>78487.28</v>
      </c>
      <c r="N113" s="4">
        <v>116867.05</v>
      </c>
      <c r="O113" s="6">
        <v>59.82</v>
      </c>
      <c r="P113" s="1" t="s">
        <v>44</v>
      </c>
      <c r="Q113" s="1" t="s">
        <v>32</v>
      </c>
      <c r="R113" s="1" t="s">
        <v>26</v>
      </c>
    </row>
    <row r="114" spans="1:18" x14ac:dyDescent="0.25">
      <c r="A114" s="1" t="s">
        <v>338</v>
      </c>
      <c r="B114" s="2">
        <v>45321</v>
      </c>
      <c r="C114" s="1" t="s">
        <v>58</v>
      </c>
      <c r="D114" s="1" t="s">
        <v>79</v>
      </c>
      <c r="E114" s="1" t="s">
        <v>36</v>
      </c>
      <c r="F114" s="1" t="s">
        <v>60</v>
      </c>
      <c r="G114" s="1" t="s">
        <v>121</v>
      </c>
      <c r="H114">
        <v>36</v>
      </c>
      <c r="I114" s="4">
        <v>6309.4</v>
      </c>
      <c r="J114" s="4">
        <v>227138.4</v>
      </c>
      <c r="K114" s="6">
        <v>20</v>
      </c>
      <c r="L114" s="4">
        <v>181710.72</v>
      </c>
      <c r="M114" s="4">
        <v>115446.57</v>
      </c>
      <c r="N114" s="4">
        <v>66264.149999999994</v>
      </c>
      <c r="O114" s="6">
        <v>36.47</v>
      </c>
      <c r="P114" s="1" t="s">
        <v>24</v>
      </c>
      <c r="Q114" s="1" t="s">
        <v>38</v>
      </c>
      <c r="R114" s="1" t="s">
        <v>26</v>
      </c>
    </row>
    <row r="115" spans="1:18" x14ac:dyDescent="0.25">
      <c r="A115" s="1" t="s">
        <v>251</v>
      </c>
      <c r="B115" s="2">
        <v>45546</v>
      </c>
      <c r="C115" s="1" t="s">
        <v>58</v>
      </c>
      <c r="D115" s="1" t="s">
        <v>150</v>
      </c>
      <c r="E115" s="1" t="s">
        <v>28</v>
      </c>
      <c r="F115" s="1" t="s">
        <v>47</v>
      </c>
      <c r="G115" s="1" t="s">
        <v>108</v>
      </c>
      <c r="H115">
        <v>34</v>
      </c>
      <c r="I115" s="4">
        <v>6483.38</v>
      </c>
      <c r="J115" s="4">
        <v>220434.92</v>
      </c>
      <c r="K115" s="6">
        <v>5</v>
      </c>
      <c r="L115" s="4">
        <v>209413.17</v>
      </c>
      <c r="M115" s="4">
        <v>135085.6</v>
      </c>
      <c r="N115" s="4">
        <v>74327.570000000007</v>
      </c>
      <c r="O115" s="6">
        <v>35.49</v>
      </c>
      <c r="P115" s="1" t="s">
        <v>49</v>
      </c>
      <c r="Q115" s="1" t="s">
        <v>38</v>
      </c>
      <c r="R115" s="1" t="s">
        <v>26</v>
      </c>
    </row>
    <row r="116" spans="1:18" x14ac:dyDescent="0.25">
      <c r="A116" s="1" t="s">
        <v>476</v>
      </c>
      <c r="B116" s="2">
        <v>45575</v>
      </c>
      <c r="C116" s="1" t="s">
        <v>34</v>
      </c>
      <c r="D116" s="1" t="s">
        <v>71</v>
      </c>
      <c r="E116" s="1" t="s">
        <v>65</v>
      </c>
      <c r="F116" s="1" t="s">
        <v>60</v>
      </c>
      <c r="G116" s="1" t="s">
        <v>89</v>
      </c>
      <c r="H116">
        <v>17</v>
      </c>
      <c r="I116" s="4">
        <v>12822.76</v>
      </c>
      <c r="J116" s="4">
        <v>217986.92</v>
      </c>
      <c r="K116" s="6">
        <v>15</v>
      </c>
      <c r="L116" s="4">
        <v>185288.88</v>
      </c>
      <c r="M116" s="4">
        <v>120251.56</v>
      </c>
      <c r="N116" s="4">
        <v>65037.32</v>
      </c>
      <c r="O116" s="6">
        <v>35.1</v>
      </c>
      <c r="P116" s="1" t="s">
        <v>44</v>
      </c>
      <c r="Q116" s="1" t="s">
        <v>25</v>
      </c>
      <c r="R116" s="1" t="s">
        <v>26</v>
      </c>
    </row>
    <row r="117" spans="1:18" x14ac:dyDescent="0.25">
      <c r="A117" s="1" t="s">
        <v>539</v>
      </c>
      <c r="B117" s="2">
        <v>45466</v>
      </c>
      <c r="C117" s="1" t="s">
        <v>19</v>
      </c>
      <c r="D117" s="1" t="s">
        <v>155</v>
      </c>
      <c r="E117" s="1" t="s">
        <v>21</v>
      </c>
      <c r="F117" s="1" t="s">
        <v>47</v>
      </c>
      <c r="G117" s="1" t="s">
        <v>115</v>
      </c>
      <c r="H117">
        <v>48</v>
      </c>
      <c r="I117" s="4">
        <v>4513.17</v>
      </c>
      <c r="J117" s="4">
        <v>216632.16</v>
      </c>
      <c r="K117" s="6">
        <v>25</v>
      </c>
      <c r="L117" s="4">
        <v>162474.12</v>
      </c>
      <c r="M117" s="4">
        <v>71151.240000000005</v>
      </c>
      <c r="N117" s="4">
        <v>91322.880000000005</v>
      </c>
      <c r="O117" s="6">
        <v>56.21</v>
      </c>
      <c r="P117" s="1" t="s">
        <v>49</v>
      </c>
      <c r="Q117" s="1" t="s">
        <v>56</v>
      </c>
      <c r="R117" s="1" t="s">
        <v>180</v>
      </c>
    </row>
    <row r="118" spans="1:18" x14ac:dyDescent="0.25">
      <c r="A118" s="1" t="s">
        <v>189</v>
      </c>
      <c r="B118" s="2">
        <v>45637</v>
      </c>
      <c r="C118" s="1" t="s">
        <v>19</v>
      </c>
      <c r="D118" s="1" t="s">
        <v>155</v>
      </c>
      <c r="E118" s="1" t="s">
        <v>36</v>
      </c>
      <c r="F118" s="1" t="s">
        <v>47</v>
      </c>
      <c r="G118" s="1" t="s">
        <v>108</v>
      </c>
      <c r="H118">
        <v>21</v>
      </c>
      <c r="I118" s="4">
        <v>10167.459999999999</v>
      </c>
      <c r="J118" s="4">
        <v>213516.66</v>
      </c>
      <c r="K118" s="6">
        <v>5</v>
      </c>
      <c r="L118" s="4">
        <v>202840.83</v>
      </c>
      <c r="M118" s="4">
        <v>101205.63</v>
      </c>
      <c r="N118" s="4">
        <v>101635.2</v>
      </c>
      <c r="O118" s="6">
        <v>50.11</v>
      </c>
      <c r="P118" s="1" t="s">
        <v>62</v>
      </c>
      <c r="Q118" s="1" t="s">
        <v>38</v>
      </c>
      <c r="R118" s="1" t="s">
        <v>26</v>
      </c>
    </row>
    <row r="119" spans="1:18" x14ac:dyDescent="0.25">
      <c r="A119" s="1" t="s">
        <v>231</v>
      </c>
      <c r="B119" s="2">
        <v>45147</v>
      </c>
      <c r="C119" s="1" t="s">
        <v>19</v>
      </c>
      <c r="D119" s="1" t="s">
        <v>20</v>
      </c>
      <c r="E119" s="1" t="s">
        <v>112</v>
      </c>
      <c r="F119" s="1" t="s">
        <v>47</v>
      </c>
      <c r="G119" s="1" t="s">
        <v>77</v>
      </c>
      <c r="H119">
        <v>28</v>
      </c>
      <c r="I119" s="4">
        <v>7464.94</v>
      </c>
      <c r="J119" s="4">
        <v>209018.32</v>
      </c>
      <c r="K119" s="6">
        <v>15</v>
      </c>
      <c r="L119" s="4">
        <v>177665.57</v>
      </c>
      <c r="M119" s="4">
        <v>93142.080000000002</v>
      </c>
      <c r="N119" s="4">
        <v>84523.49</v>
      </c>
      <c r="O119" s="6">
        <v>47.57</v>
      </c>
      <c r="P119" s="1" t="s">
        <v>31</v>
      </c>
      <c r="Q119" s="1" t="s">
        <v>56</v>
      </c>
      <c r="R119" s="1" t="s">
        <v>26</v>
      </c>
    </row>
    <row r="120" spans="1:18" x14ac:dyDescent="0.25">
      <c r="A120" s="1" t="s">
        <v>576</v>
      </c>
      <c r="B120" s="2">
        <v>45100</v>
      </c>
      <c r="C120" s="1" t="s">
        <v>58</v>
      </c>
      <c r="D120" s="1" t="s">
        <v>59</v>
      </c>
      <c r="E120" s="1" t="s">
        <v>36</v>
      </c>
      <c r="F120" s="1" t="s">
        <v>47</v>
      </c>
      <c r="G120" s="1" t="s">
        <v>115</v>
      </c>
      <c r="H120">
        <v>23</v>
      </c>
      <c r="I120" s="4">
        <v>9050.2999999999993</v>
      </c>
      <c r="J120" s="4">
        <v>208156.9</v>
      </c>
      <c r="K120" s="6">
        <v>0</v>
      </c>
      <c r="L120" s="4">
        <v>208156.9</v>
      </c>
      <c r="M120" s="4">
        <v>131327.1</v>
      </c>
      <c r="N120" s="4">
        <v>76829.8</v>
      </c>
      <c r="O120" s="6">
        <v>36.909999999999997</v>
      </c>
      <c r="P120" s="1" t="s">
        <v>44</v>
      </c>
      <c r="Q120" s="1" t="s">
        <v>25</v>
      </c>
      <c r="R120" s="1" t="s">
        <v>26</v>
      </c>
    </row>
    <row r="121" spans="1:18" x14ac:dyDescent="0.25">
      <c r="A121" s="1" t="s">
        <v>90</v>
      </c>
      <c r="B121" s="2">
        <v>45601</v>
      </c>
      <c r="C121" s="1" t="s">
        <v>51</v>
      </c>
      <c r="D121" s="1" t="s">
        <v>91</v>
      </c>
      <c r="E121" s="1" t="s">
        <v>21</v>
      </c>
      <c r="F121" s="1" t="s">
        <v>81</v>
      </c>
      <c r="G121" s="1" t="s">
        <v>92</v>
      </c>
      <c r="H121">
        <v>31</v>
      </c>
      <c r="I121" s="4">
        <v>6498.48</v>
      </c>
      <c r="J121" s="4">
        <v>201452.88</v>
      </c>
      <c r="K121" s="6">
        <v>5</v>
      </c>
      <c r="L121" s="4">
        <v>191380.24</v>
      </c>
      <c r="M121" s="4">
        <v>81967.72</v>
      </c>
      <c r="N121" s="4">
        <v>109412.52</v>
      </c>
      <c r="O121" s="6">
        <v>57.17</v>
      </c>
      <c r="P121" s="1" t="s">
        <v>62</v>
      </c>
      <c r="Q121" s="1" t="s">
        <v>38</v>
      </c>
      <c r="R121" s="1" t="s">
        <v>26</v>
      </c>
    </row>
    <row r="122" spans="1:18" x14ac:dyDescent="0.25">
      <c r="A122" s="1" t="s">
        <v>413</v>
      </c>
      <c r="B122" s="2">
        <v>45630</v>
      </c>
      <c r="C122" s="1" t="s">
        <v>58</v>
      </c>
      <c r="D122" s="1" t="s">
        <v>59</v>
      </c>
      <c r="E122" s="1" t="s">
        <v>120</v>
      </c>
      <c r="F122" s="1" t="s">
        <v>81</v>
      </c>
      <c r="G122" s="1" t="s">
        <v>178</v>
      </c>
      <c r="H122">
        <v>31</v>
      </c>
      <c r="I122" s="4">
        <v>6352.09</v>
      </c>
      <c r="J122" s="4">
        <v>196914.79</v>
      </c>
      <c r="K122" s="6">
        <v>20</v>
      </c>
      <c r="L122" s="4">
        <v>157531.82999999999</v>
      </c>
      <c r="M122" s="4">
        <v>93777.26</v>
      </c>
      <c r="N122" s="4">
        <v>63754.57</v>
      </c>
      <c r="O122" s="6">
        <v>40.47</v>
      </c>
      <c r="P122" s="1" t="s">
        <v>49</v>
      </c>
      <c r="Q122" s="1" t="s">
        <v>106</v>
      </c>
      <c r="R122" s="1" t="s">
        <v>26</v>
      </c>
    </row>
    <row r="123" spans="1:18" x14ac:dyDescent="0.25">
      <c r="A123" s="1" t="s">
        <v>583</v>
      </c>
      <c r="B123" s="2">
        <v>44990</v>
      </c>
      <c r="C123" s="1" t="s">
        <v>51</v>
      </c>
      <c r="D123" s="1" t="s">
        <v>88</v>
      </c>
      <c r="E123" s="1" t="s">
        <v>36</v>
      </c>
      <c r="F123" s="1" t="s">
        <v>47</v>
      </c>
      <c r="G123" s="1" t="s">
        <v>48</v>
      </c>
      <c r="H123">
        <v>41</v>
      </c>
      <c r="I123" s="4">
        <v>4779.08</v>
      </c>
      <c r="J123" s="4">
        <v>195942.28</v>
      </c>
      <c r="K123" s="6">
        <v>20</v>
      </c>
      <c r="L123" s="4">
        <v>156753.82</v>
      </c>
      <c r="M123" s="4">
        <v>75675.02</v>
      </c>
      <c r="N123" s="4">
        <v>81078.8</v>
      </c>
      <c r="O123" s="6">
        <v>51.72</v>
      </c>
      <c r="P123" s="1" t="s">
        <v>44</v>
      </c>
      <c r="Q123" s="1" t="s">
        <v>32</v>
      </c>
      <c r="R123" s="1" t="s">
        <v>26</v>
      </c>
    </row>
    <row r="124" spans="1:18" x14ac:dyDescent="0.25">
      <c r="A124" s="1" t="s">
        <v>242</v>
      </c>
      <c r="B124" s="2">
        <v>45440</v>
      </c>
      <c r="C124" s="1" t="s">
        <v>58</v>
      </c>
      <c r="D124" s="1" t="s">
        <v>150</v>
      </c>
      <c r="E124" s="1" t="s">
        <v>85</v>
      </c>
      <c r="F124" s="1" t="s">
        <v>81</v>
      </c>
      <c r="G124" s="1" t="s">
        <v>105</v>
      </c>
      <c r="H124">
        <v>37</v>
      </c>
      <c r="I124" s="4">
        <v>5284.33</v>
      </c>
      <c r="J124" s="4">
        <v>195520.21</v>
      </c>
      <c r="K124" s="6">
        <v>10</v>
      </c>
      <c r="L124" s="4">
        <v>175968.19</v>
      </c>
      <c r="M124" s="4">
        <v>102325.81</v>
      </c>
      <c r="N124" s="4">
        <v>73642.38</v>
      </c>
      <c r="O124" s="6">
        <v>41.85</v>
      </c>
      <c r="P124" s="1" t="s">
        <v>49</v>
      </c>
      <c r="Q124" s="1" t="s">
        <v>56</v>
      </c>
      <c r="R124" s="1" t="s">
        <v>26</v>
      </c>
    </row>
    <row r="125" spans="1:18" x14ac:dyDescent="0.25">
      <c r="A125" s="1" t="s">
        <v>360</v>
      </c>
      <c r="B125" s="2">
        <v>45434</v>
      </c>
      <c r="C125" s="1" t="s">
        <v>34</v>
      </c>
      <c r="D125" s="1" t="s">
        <v>46</v>
      </c>
      <c r="E125" s="1" t="s">
        <v>80</v>
      </c>
      <c r="F125" s="1" t="s">
        <v>81</v>
      </c>
      <c r="G125" s="1" t="s">
        <v>186</v>
      </c>
      <c r="H125">
        <v>50</v>
      </c>
      <c r="I125" s="4">
        <v>3767.11</v>
      </c>
      <c r="J125" s="4">
        <v>188355.5</v>
      </c>
      <c r="K125" s="6">
        <v>25</v>
      </c>
      <c r="L125" s="4">
        <v>141266.62</v>
      </c>
      <c r="M125" s="4">
        <v>89247.21</v>
      </c>
      <c r="N125" s="4">
        <v>52019.41</v>
      </c>
      <c r="O125" s="6">
        <v>36.82</v>
      </c>
      <c r="P125" s="1" t="s">
        <v>31</v>
      </c>
      <c r="Q125" s="1" t="s">
        <v>25</v>
      </c>
      <c r="R125" s="1" t="s">
        <v>26</v>
      </c>
    </row>
    <row r="126" spans="1:18" x14ac:dyDescent="0.25">
      <c r="A126" s="1" t="s">
        <v>498</v>
      </c>
      <c r="B126" s="2">
        <v>45426</v>
      </c>
      <c r="C126" s="1" t="s">
        <v>51</v>
      </c>
      <c r="D126" s="1" t="s">
        <v>98</v>
      </c>
      <c r="E126" s="1" t="s">
        <v>65</v>
      </c>
      <c r="F126" s="1" t="s">
        <v>81</v>
      </c>
      <c r="G126" s="1" t="s">
        <v>82</v>
      </c>
      <c r="H126">
        <v>47</v>
      </c>
      <c r="I126" s="4">
        <v>3971.33</v>
      </c>
      <c r="J126" s="4">
        <v>186652.51</v>
      </c>
      <c r="K126" s="6">
        <v>10</v>
      </c>
      <c r="L126" s="4">
        <v>167987.26</v>
      </c>
      <c r="M126" s="4">
        <v>69231.91</v>
      </c>
      <c r="N126" s="4">
        <v>98755.35</v>
      </c>
      <c r="O126" s="6">
        <v>58.79</v>
      </c>
      <c r="P126" s="1" t="s">
        <v>49</v>
      </c>
      <c r="Q126" s="1" t="s">
        <v>56</v>
      </c>
      <c r="R126" s="1" t="s">
        <v>26</v>
      </c>
    </row>
    <row r="127" spans="1:18" x14ac:dyDescent="0.25">
      <c r="A127" s="1" t="s">
        <v>177</v>
      </c>
      <c r="B127" s="2">
        <v>45028</v>
      </c>
      <c r="C127" s="1" t="s">
        <v>58</v>
      </c>
      <c r="D127" s="1" t="s">
        <v>59</v>
      </c>
      <c r="E127" s="1" t="s">
        <v>139</v>
      </c>
      <c r="F127" s="1" t="s">
        <v>81</v>
      </c>
      <c r="G127" s="1" t="s">
        <v>178</v>
      </c>
      <c r="H127">
        <v>37</v>
      </c>
      <c r="I127" s="4">
        <v>5044.01</v>
      </c>
      <c r="J127" s="4">
        <v>186628.37</v>
      </c>
      <c r="K127" s="6">
        <v>20</v>
      </c>
      <c r="L127" s="4">
        <v>149302.70000000001</v>
      </c>
      <c r="M127" s="4">
        <v>102725.13</v>
      </c>
      <c r="N127" s="4">
        <v>46577.57</v>
      </c>
      <c r="O127" s="6">
        <v>31.2</v>
      </c>
      <c r="P127" s="1" t="s">
        <v>49</v>
      </c>
      <c r="Q127" s="1" t="s">
        <v>63</v>
      </c>
      <c r="R127" s="1" t="s">
        <v>26</v>
      </c>
    </row>
    <row r="128" spans="1:18" x14ac:dyDescent="0.25">
      <c r="A128" s="1" t="s">
        <v>408</v>
      </c>
      <c r="B128" s="2">
        <v>45374</v>
      </c>
      <c r="C128" s="1" t="s">
        <v>58</v>
      </c>
      <c r="D128" s="1" t="s">
        <v>119</v>
      </c>
      <c r="E128" s="1" t="s">
        <v>139</v>
      </c>
      <c r="F128" s="1" t="s">
        <v>60</v>
      </c>
      <c r="G128" s="1" t="s">
        <v>347</v>
      </c>
      <c r="H128">
        <v>21</v>
      </c>
      <c r="I128" s="4">
        <v>8877.94</v>
      </c>
      <c r="J128" s="4">
        <v>186436.74</v>
      </c>
      <c r="K128" s="6">
        <v>5</v>
      </c>
      <c r="L128" s="4">
        <v>177114.9</v>
      </c>
      <c r="M128" s="4">
        <v>109759.1</v>
      </c>
      <c r="N128" s="4">
        <v>67355.8</v>
      </c>
      <c r="O128" s="6">
        <v>38.03</v>
      </c>
      <c r="P128" s="1" t="s">
        <v>62</v>
      </c>
      <c r="Q128" s="1" t="s">
        <v>63</v>
      </c>
      <c r="R128" s="1" t="s">
        <v>26</v>
      </c>
    </row>
    <row r="129" spans="1:18" x14ac:dyDescent="0.25">
      <c r="A129" s="1" t="s">
        <v>288</v>
      </c>
      <c r="B129" s="2">
        <v>45571</v>
      </c>
      <c r="C129" s="1" t="s">
        <v>19</v>
      </c>
      <c r="D129" s="1" t="s">
        <v>166</v>
      </c>
      <c r="E129" s="1" t="s">
        <v>129</v>
      </c>
      <c r="F129" s="1" t="s">
        <v>47</v>
      </c>
      <c r="G129" s="1" t="s">
        <v>160</v>
      </c>
      <c r="H129">
        <v>38</v>
      </c>
      <c r="I129" s="4">
        <v>4857.4799999999996</v>
      </c>
      <c r="J129" s="4">
        <v>184584.24</v>
      </c>
      <c r="K129" s="6">
        <v>25</v>
      </c>
      <c r="L129" s="4">
        <v>138438.18</v>
      </c>
      <c r="M129" s="4">
        <v>91594.82</v>
      </c>
      <c r="N129" s="4">
        <v>46843.360000000001</v>
      </c>
      <c r="O129" s="6">
        <v>33.840000000000003</v>
      </c>
      <c r="P129" s="1" t="s">
        <v>24</v>
      </c>
      <c r="Q129" s="1" t="s">
        <v>25</v>
      </c>
      <c r="R129" s="1" t="s">
        <v>26</v>
      </c>
    </row>
    <row r="130" spans="1:18" x14ac:dyDescent="0.25">
      <c r="A130" s="1" t="s">
        <v>45</v>
      </c>
      <c r="B130" s="2">
        <v>45550</v>
      </c>
      <c r="C130" s="1" t="s">
        <v>34</v>
      </c>
      <c r="D130" s="1" t="s">
        <v>46</v>
      </c>
      <c r="E130" s="1" t="s">
        <v>21</v>
      </c>
      <c r="F130" s="1" t="s">
        <v>47</v>
      </c>
      <c r="G130" s="1" t="s">
        <v>48</v>
      </c>
      <c r="H130">
        <v>43</v>
      </c>
      <c r="I130" s="4">
        <v>4261.2299999999996</v>
      </c>
      <c r="J130" s="4">
        <v>183232.89</v>
      </c>
      <c r="K130" s="6">
        <v>25</v>
      </c>
      <c r="L130" s="4">
        <v>137424.67000000001</v>
      </c>
      <c r="M130" s="4">
        <v>81686.679999999993</v>
      </c>
      <c r="N130" s="4">
        <v>55737.99</v>
      </c>
      <c r="O130" s="6">
        <v>40.56</v>
      </c>
      <c r="P130" s="1" t="s">
        <v>49</v>
      </c>
      <c r="Q130" s="1" t="s">
        <v>25</v>
      </c>
      <c r="R130" s="1" t="s">
        <v>26</v>
      </c>
    </row>
    <row r="131" spans="1:18" x14ac:dyDescent="0.25">
      <c r="A131" s="1" t="s">
        <v>162</v>
      </c>
      <c r="B131" s="2">
        <v>45297</v>
      </c>
      <c r="C131" s="1" t="s">
        <v>34</v>
      </c>
      <c r="D131" s="1" t="s">
        <v>35</v>
      </c>
      <c r="E131" s="1" t="s">
        <v>76</v>
      </c>
      <c r="F131" s="1" t="s">
        <v>81</v>
      </c>
      <c r="G131" s="1" t="s">
        <v>163</v>
      </c>
      <c r="H131">
        <v>27</v>
      </c>
      <c r="I131" s="4">
        <v>6614.18</v>
      </c>
      <c r="J131" s="4">
        <v>178582.86</v>
      </c>
      <c r="K131" s="6">
        <v>0</v>
      </c>
      <c r="L131" s="4">
        <v>178582.86</v>
      </c>
      <c r="M131" s="4">
        <v>94659.1</v>
      </c>
      <c r="N131" s="4">
        <v>83923.76</v>
      </c>
      <c r="O131" s="6">
        <v>46.99</v>
      </c>
      <c r="P131" s="1" t="s">
        <v>62</v>
      </c>
      <c r="Q131" s="1" t="s">
        <v>63</v>
      </c>
      <c r="R131" s="1" t="s">
        <v>26</v>
      </c>
    </row>
    <row r="132" spans="1:18" x14ac:dyDescent="0.25">
      <c r="A132" s="1" t="s">
        <v>441</v>
      </c>
      <c r="B132" s="2">
        <v>45576</v>
      </c>
      <c r="C132" s="1" t="s">
        <v>34</v>
      </c>
      <c r="D132" s="1" t="s">
        <v>133</v>
      </c>
      <c r="E132" s="1" t="s">
        <v>139</v>
      </c>
      <c r="F132" s="1" t="s">
        <v>47</v>
      </c>
      <c r="G132" s="1" t="s">
        <v>48</v>
      </c>
      <c r="H132">
        <v>38</v>
      </c>
      <c r="I132" s="4">
        <v>4657.8500000000004</v>
      </c>
      <c r="J132" s="4">
        <v>176998.3</v>
      </c>
      <c r="K132" s="6">
        <v>0</v>
      </c>
      <c r="L132" s="4">
        <v>176998.3</v>
      </c>
      <c r="M132" s="4">
        <v>95784.57</v>
      </c>
      <c r="N132" s="4">
        <v>81213.73</v>
      </c>
      <c r="O132" s="6">
        <v>45.88</v>
      </c>
      <c r="P132" s="1" t="s">
        <v>31</v>
      </c>
      <c r="Q132" s="1" t="s">
        <v>25</v>
      </c>
      <c r="R132" s="1" t="s">
        <v>26</v>
      </c>
    </row>
    <row r="133" spans="1:18" x14ac:dyDescent="0.25">
      <c r="A133" s="1" t="s">
        <v>289</v>
      </c>
      <c r="B133" s="2">
        <v>45316</v>
      </c>
      <c r="C133" s="1" t="s">
        <v>51</v>
      </c>
      <c r="D133" s="1" t="s">
        <v>88</v>
      </c>
      <c r="E133" s="1" t="s">
        <v>80</v>
      </c>
      <c r="F133" s="1" t="s">
        <v>81</v>
      </c>
      <c r="G133" s="1" t="s">
        <v>92</v>
      </c>
      <c r="H133">
        <v>34</v>
      </c>
      <c r="I133" s="4">
        <v>5106.3999999999996</v>
      </c>
      <c r="J133" s="4">
        <v>173617.6</v>
      </c>
      <c r="K133" s="6">
        <v>20</v>
      </c>
      <c r="L133" s="4">
        <v>138894.07999999999</v>
      </c>
      <c r="M133" s="4">
        <v>87834.09</v>
      </c>
      <c r="N133" s="4">
        <v>51059.99</v>
      </c>
      <c r="O133" s="6">
        <v>36.76</v>
      </c>
      <c r="P133" s="1" t="s">
        <v>49</v>
      </c>
      <c r="Q133" s="1" t="s">
        <v>63</v>
      </c>
      <c r="R133" s="1" t="s">
        <v>26</v>
      </c>
    </row>
    <row r="134" spans="1:18" x14ac:dyDescent="0.25">
      <c r="A134" s="1" t="s">
        <v>277</v>
      </c>
      <c r="B134" s="2">
        <v>45142</v>
      </c>
      <c r="C134" s="1" t="s">
        <v>34</v>
      </c>
      <c r="D134" s="1" t="s">
        <v>71</v>
      </c>
      <c r="E134" s="1" t="s">
        <v>120</v>
      </c>
      <c r="F134" s="1" t="s">
        <v>60</v>
      </c>
      <c r="G134" s="1" t="s">
        <v>89</v>
      </c>
      <c r="H134">
        <v>3</v>
      </c>
      <c r="I134" s="4">
        <v>56953.97</v>
      </c>
      <c r="J134" s="4">
        <v>170861.91</v>
      </c>
      <c r="K134" s="6">
        <v>20</v>
      </c>
      <c r="L134" s="4">
        <v>136689.53</v>
      </c>
      <c r="M134" s="4">
        <v>65528.52</v>
      </c>
      <c r="N134" s="4">
        <v>71161.009999999995</v>
      </c>
      <c r="O134" s="6">
        <v>52.06</v>
      </c>
      <c r="P134" s="1" t="s">
        <v>31</v>
      </c>
      <c r="Q134" s="1" t="s">
        <v>32</v>
      </c>
      <c r="R134" s="1" t="s">
        <v>26</v>
      </c>
    </row>
    <row r="135" spans="1:18" x14ac:dyDescent="0.25">
      <c r="A135" s="1" t="s">
        <v>226</v>
      </c>
      <c r="B135" s="2">
        <v>45496</v>
      </c>
      <c r="C135" s="1" t="s">
        <v>19</v>
      </c>
      <c r="D135" s="1" t="s">
        <v>75</v>
      </c>
      <c r="E135" s="1" t="s">
        <v>80</v>
      </c>
      <c r="F135" s="1" t="s">
        <v>81</v>
      </c>
      <c r="G135" s="1" t="s">
        <v>110</v>
      </c>
      <c r="H135">
        <v>43</v>
      </c>
      <c r="I135" s="4">
        <v>3961.08</v>
      </c>
      <c r="J135" s="4">
        <v>170326.44</v>
      </c>
      <c r="K135" s="6">
        <v>0</v>
      </c>
      <c r="L135" s="4">
        <v>170326.44</v>
      </c>
      <c r="M135" s="4">
        <v>86020.68</v>
      </c>
      <c r="N135" s="4">
        <v>84305.76</v>
      </c>
      <c r="O135" s="6">
        <v>49.5</v>
      </c>
      <c r="P135" s="1" t="s">
        <v>44</v>
      </c>
      <c r="Q135" s="1" t="s">
        <v>56</v>
      </c>
      <c r="R135" s="1" t="s">
        <v>26</v>
      </c>
    </row>
    <row r="136" spans="1:18" x14ac:dyDescent="0.25">
      <c r="A136" s="1" t="s">
        <v>78</v>
      </c>
      <c r="B136" s="2">
        <v>45467</v>
      </c>
      <c r="C136" s="1" t="s">
        <v>58</v>
      </c>
      <c r="D136" s="1" t="s">
        <v>79</v>
      </c>
      <c r="E136" s="1" t="s">
        <v>80</v>
      </c>
      <c r="F136" s="1" t="s">
        <v>81</v>
      </c>
      <c r="G136" s="1" t="s">
        <v>82</v>
      </c>
      <c r="H136">
        <v>43</v>
      </c>
      <c r="I136" s="4">
        <v>3907.2</v>
      </c>
      <c r="J136" s="4">
        <v>168009.60000000001</v>
      </c>
      <c r="K136" s="6">
        <v>20</v>
      </c>
      <c r="L136" s="4">
        <v>134407.67999999999</v>
      </c>
      <c r="M136" s="4">
        <v>60421.37</v>
      </c>
      <c r="N136" s="4">
        <v>73986.31</v>
      </c>
      <c r="O136" s="6">
        <v>55.05</v>
      </c>
      <c r="P136" s="1" t="s">
        <v>31</v>
      </c>
      <c r="Q136" s="1" t="s">
        <v>32</v>
      </c>
      <c r="R136" s="1" t="s">
        <v>26</v>
      </c>
    </row>
    <row r="137" spans="1:18" x14ac:dyDescent="0.25">
      <c r="A137" s="1" t="s">
        <v>291</v>
      </c>
      <c r="B137" s="2">
        <v>45248</v>
      </c>
      <c r="C137" s="1" t="s">
        <v>19</v>
      </c>
      <c r="D137" s="1" t="s">
        <v>159</v>
      </c>
      <c r="E137" s="1" t="s">
        <v>28</v>
      </c>
      <c r="F137" s="1" t="s">
        <v>81</v>
      </c>
      <c r="G137" s="1" t="s">
        <v>110</v>
      </c>
      <c r="H137">
        <v>21</v>
      </c>
      <c r="I137" s="4">
        <v>7985.36</v>
      </c>
      <c r="J137" s="4">
        <v>167692.56</v>
      </c>
      <c r="K137" s="6">
        <v>15</v>
      </c>
      <c r="L137" s="4">
        <v>142538.68</v>
      </c>
      <c r="M137" s="4">
        <v>79485.72</v>
      </c>
      <c r="N137" s="4">
        <v>63052.959999999999</v>
      </c>
      <c r="O137" s="6">
        <v>44.24</v>
      </c>
      <c r="P137" s="1" t="s">
        <v>49</v>
      </c>
      <c r="Q137" s="1" t="s">
        <v>32</v>
      </c>
      <c r="R137" s="1" t="s">
        <v>26</v>
      </c>
    </row>
    <row r="138" spans="1:18" x14ac:dyDescent="0.25">
      <c r="A138" s="1" t="s">
        <v>565</v>
      </c>
      <c r="B138" s="2">
        <v>45259</v>
      </c>
      <c r="C138" s="1" t="s">
        <v>34</v>
      </c>
      <c r="D138" s="1" t="s">
        <v>46</v>
      </c>
      <c r="E138" s="1" t="s">
        <v>53</v>
      </c>
      <c r="F138" s="1" t="s">
        <v>81</v>
      </c>
      <c r="G138" s="1" t="s">
        <v>92</v>
      </c>
      <c r="H138">
        <v>23</v>
      </c>
      <c r="I138" s="4">
        <v>7239.38</v>
      </c>
      <c r="J138" s="4">
        <v>166505.74</v>
      </c>
      <c r="K138" s="6">
        <v>20</v>
      </c>
      <c r="L138" s="4">
        <v>133204.59</v>
      </c>
      <c r="M138" s="4">
        <v>92902.06</v>
      </c>
      <c r="N138" s="4">
        <v>40302.53</v>
      </c>
      <c r="O138" s="6">
        <v>30.26</v>
      </c>
      <c r="P138" s="1" t="s">
        <v>44</v>
      </c>
      <c r="Q138" s="1" t="s">
        <v>32</v>
      </c>
      <c r="R138" s="1" t="s">
        <v>26</v>
      </c>
    </row>
    <row r="139" spans="1:18" x14ac:dyDescent="0.25">
      <c r="A139" s="1" t="s">
        <v>168</v>
      </c>
      <c r="B139" s="2">
        <v>44944</v>
      </c>
      <c r="C139" s="1" t="s">
        <v>58</v>
      </c>
      <c r="D139" s="1" t="s">
        <v>150</v>
      </c>
      <c r="E139" s="1" t="s">
        <v>65</v>
      </c>
      <c r="F139" s="1" t="s">
        <v>81</v>
      </c>
      <c r="G139" s="1" t="s">
        <v>110</v>
      </c>
      <c r="H139">
        <v>31</v>
      </c>
      <c r="I139" s="4">
        <v>5238.04</v>
      </c>
      <c r="J139" s="4">
        <v>162379.24</v>
      </c>
      <c r="K139" s="6">
        <v>15</v>
      </c>
      <c r="L139" s="4">
        <v>138022.35</v>
      </c>
      <c r="M139" s="4">
        <v>73766.37</v>
      </c>
      <c r="N139" s="4">
        <v>64255.98</v>
      </c>
      <c r="O139" s="6">
        <v>46.55</v>
      </c>
      <c r="P139" s="1" t="s">
        <v>24</v>
      </c>
      <c r="Q139" s="1" t="s">
        <v>38</v>
      </c>
      <c r="R139" s="1" t="s">
        <v>26</v>
      </c>
    </row>
    <row r="140" spans="1:18" x14ac:dyDescent="0.25">
      <c r="A140" s="1" t="s">
        <v>249</v>
      </c>
      <c r="B140" s="2">
        <v>44971</v>
      </c>
      <c r="C140" s="1" t="s">
        <v>58</v>
      </c>
      <c r="D140" s="1" t="s">
        <v>126</v>
      </c>
      <c r="E140" s="1" t="s">
        <v>72</v>
      </c>
      <c r="F140" s="1" t="s">
        <v>29</v>
      </c>
      <c r="G140" s="1" t="s">
        <v>68</v>
      </c>
      <c r="H140">
        <v>45</v>
      </c>
      <c r="I140" s="4">
        <v>3527.17</v>
      </c>
      <c r="J140" s="4">
        <v>158722.65</v>
      </c>
      <c r="K140" s="6">
        <v>5</v>
      </c>
      <c r="L140" s="4">
        <v>150786.51999999999</v>
      </c>
      <c r="M140" s="4">
        <v>92938.01</v>
      </c>
      <c r="N140" s="4">
        <v>57848.51</v>
      </c>
      <c r="O140" s="6">
        <v>38.36</v>
      </c>
      <c r="P140" s="1" t="s">
        <v>62</v>
      </c>
      <c r="Q140" s="1" t="s">
        <v>38</v>
      </c>
      <c r="R140" s="1" t="s">
        <v>26</v>
      </c>
    </row>
    <row r="141" spans="1:18" x14ac:dyDescent="0.25">
      <c r="A141" s="1" t="s">
        <v>593</v>
      </c>
      <c r="B141" s="2">
        <v>45332</v>
      </c>
      <c r="C141" s="1" t="s">
        <v>19</v>
      </c>
      <c r="D141" s="1" t="s">
        <v>75</v>
      </c>
      <c r="E141" s="1" t="s">
        <v>85</v>
      </c>
      <c r="F141" s="1" t="s">
        <v>60</v>
      </c>
      <c r="G141" s="1" t="s">
        <v>184</v>
      </c>
      <c r="H141">
        <v>3</v>
      </c>
      <c r="I141" s="4">
        <v>52764.57</v>
      </c>
      <c r="J141" s="4">
        <v>158293.71</v>
      </c>
      <c r="K141" s="6">
        <v>5</v>
      </c>
      <c r="L141" s="4">
        <v>150379.01999999999</v>
      </c>
      <c r="M141" s="4">
        <v>83552.210000000006</v>
      </c>
      <c r="N141" s="4">
        <v>66826.81</v>
      </c>
      <c r="O141" s="6">
        <v>44.44</v>
      </c>
      <c r="P141" s="1" t="s">
        <v>24</v>
      </c>
      <c r="Q141" s="1" t="s">
        <v>25</v>
      </c>
      <c r="R141" s="1" t="s">
        <v>26</v>
      </c>
    </row>
    <row r="142" spans="1:18" x14ac:dyDescent="0.25">
      <c r="A142" s="1" t="s">
        <v>326</v>
      </c>
      <c r="B142" s="2">
        <v>45572</v>
      </c>
      <c r="C142" s="1" t="s">
        <v>19</v>
      </c>
      <c r="D142" s="1" t="s">
        <v>75</v>
      </c>
      <c r="E142" s="1" t="s">
        <v>72</v>
      </c>
      <c r="F142" s="1" t="s">
        <v>60</v>
      </c>
      <c r="G142" s="1" t="s">
        <v>121</v>
      </c>
      <c r="H142">
        <v>43</v>
      </c>
      <c r="I142" s="4">
        <v>3672.05</v>
      </c>
      <c r="J142" s="4">
        <v>157898.15</v>
      </c>
      <c r="K142" s="6">
        <v>0</v>
      </c>
      <c r="L142" s="4">
        <v>157898.15</v>
      </c>
      <c r="M142" s="4">
        <v>82694.05</v>
      </c>
      <c r="N142" s="4">
        <v>75204.100000000006</v>
      </c>
      <c r="O142" s="6">
        <v>47.63</v>
      </c>
      <c r="P142" s="1" t="s">
        <v>49</v>
      </c>
      <c r="Q142" s="1" t="s">
        <v>56</v>
      </c>
      <c r="R142" s="1" t="s">
        <v>26</v>
      </c>
    </row>
    <row r="143" spans="1:18" x14ac:dyDescent="0.25">
      <c r="A143" s="1" t="s">
        <v>386</v>
      </c>
      <c r="B143" s="2">
        <v>45181</v>
      </c>
      <c r="C143" s="1" t="s">
        <v>58</v>
      </c>
      <c r="D143" s="1" t="s">
        <v>126</v>
      </c>
      <c r="E143" s="1" t="s">
        <v>28</v>
      </c>
      <c r="F143" s="1" t="s">
        <v>29</v>
      </c>
      <c r="G143" s="1" t="s">
        <v>142</v>
      </c>
      <c r="H143">
        <v>46</v>
      </c>
      <c r="I143" s="4">
        <v>3397.83</v>
      </c>
      <c r="J143" s="4">
        <v>156300.18</v>
      </c>
      <c r="K143" s="6">
        <v>15</v>
      </c>
      <c r="L143" s="4">
        <v>132855.15</v>
      </c>
      <c r="M143" s="4">
        <v>62090.46</v>
      </c>
      <c r="N143" s="4">
        <v>70764.69</v>
      </c>
      <c r="O143" s="6">
        <v>53.26</v>
      </c>
      <c r="P143" s="1" t="s">
        <v>62</v>
      </c>
      <c r="Q143" s="1" t="s">
        <v>63</v>
      </c>
      <c r="R143" s="1" t="s">
        <v>26</v>
      </c>
    </row>
    <row r="144" spans="1:18" x14ac:dyDescent="0.25">
      <c r="A144" s="1" t="s">
        <v>452</v>
      </c>
      <c r="B144" s="2">
        <v>45435</v>
      </c>
      <c r="C144" s="1" t="s">
        <v>51</v>
      </c>
      <c r="D144" s="1" t="s">
        <v>84</v>
      </c>
      <c r="E144" s="1" t="s">
        <v>36</v>
      </c>
      <c r="F144" s="1" t="s">
        <v>81</v>
      </c>
      <c r="G144" s="1" t="s">
        <v>110</v>
      </c>
      <c r="H144">
        <v>46</v>
      </c>
      <c r="I144" s="4">
        <v>3396.1</v>
      </c>
      <c r="J144" s="4">
        <v>156220.6</v>
      </c>
      <c r="K144" s="6">
        <v>5</v>
      </c>
      <c r="L144" s="4">
        <v>148409.57</v>
      </c>
      <c r="M144" s="4">
        <v>61118.28</v>
      </c>
      <c r="N144" s="4">
        <v>87291.29</v>
      </c>
      <c r="O144" s="6">
        <v>58.82</v>
      </c>
      <c r="P144" s="1" t="s">
        <v>49</v>
      </c>
      <c r="Q144" s="1" t="s">
        <v>63</v>
      </c>
      <c r="R144" s="1" t="s">
        <v>26</v>
      </c>
    </row>
    <row r="145" spans="1:18" x14ac:dyDescent="0.25">
      <c r="A145" s="1" t="s">
        <v>510</v>
      </c>
      <c r="B145" s="2">
        <v>44932</v>
      </c>
      <c r="C145" s="1" t="s">
        <v>34</v>
      </c>
      <c r="D145" s="1" t="s">
        <v>133</v>
      </c>
      <c r="E145" s="1" t="s">
        <v>139</v>
      </c>
      <c r="F145" s="1" t="s">
        <v>29</v>
      </c>
      <c r="G145" s="1" t="s">
        <v>73</v>
      </c>
      <c r="H145">
        <v>39</v>
      </c>
      <c r="I145" s="4">
        <v>3976.26</v>
      </c>
      <c r="J145" s="4">
        <v>155074.14000000001</v>
      </c>
      <c r="K145" s="6">
        <v>15</v>
      </c>
      <c r="L145" s="4">
        <v>131813.01999999999</v>
      </c>
      <c r="M145" s="4">
        <v>62919.82</v>
      </c>
      <c r="N145" s="4">
        <v>68893.2</v>
      </c>
      <c r="O145" s="6">
        <v>52.27</v>
      </c>
      <c r="P145" s="1" t="s">
        <v>24</v>
      </c>
      <c r="Q145" s="1" t="s">
        <v>25</v>
      </c>
      <c r="R145" s="1" t="s">
        <v>26</v>
      </c>
    </row>
    <row r="146" spans="1:18" x14ac:dyDescent="0.25">
      <c r="A146" s="1" t="s">
        <v>257</v>
      </c>
      <c r="B146" s="2">
        <v>45366</v>
      </c>
      <c r="C146" s="1" t="s">
        <v>58</v>
      </c>
      <c r="D146" s="1" t="s">
        <v>119</v>
      </c>
      <c r="E146" s="1" t="s">
        <v>112</v>
      </c>
      <c r="F146" s="1" t="s">
        <v>81</v>
      </c>
      <c r="G146" s="1" t="s">
        <v>105</v>
      </c>
      <c r="H146">
        <v>33</v>
      </c>
      <c r="I146" s="4">
        <v>4685.37</v>
      </c>
      <c r="J146" s="4">
        <v>154617.21</v>
      </c>
      <c r="K146" s="6">
        <v>25</v>
      </c>
      <c r="L146" s="4">
        <v>115962.91</v>
      </c>
      <c r="M146" s="4">
        <v>51380.04</v>
      </c>
      <c r="N146" s="4">
        <v>64582.87</v>
      </c>
      <c r="O146" s="6">
        <v>55.69</v>
      </c>
      <c r="P146" s="1" t="s">
        <v>24</v>
      </c>
      <c r="Q146" s="1" t="s">
        <v>25</v>
      </c>
      <c r="R146" s="1" t="s">
        <v>26</v>
      </c>
    </row>
    <row r="147" spans="1:18" x14ac:dyDescent="0.25">
      <c r="A147" s="1" t="s">
        <v>569</v>
      </c>
      <c r="B147" s="2">
        <v>45021</v>
      </c>
      <c r="C147" s="1" t="s">
        <v>51</v>
      </c>
      <c r="D147" s="1" t="s">
        <v>98</v>
      </c>
      <c r="E147" s="1" t="s">
        <v>53</v>
      </c>
      <c r="F147" s="1" t="s">
        <v>47</v>
      </c>
      <c r="G147" s="1" t="s">
        <v>48</v>
      </c>
      <c r="H147">
        <v>38</v>
      </c>
      <c r="I147" s="4">
        <v>4010.4</v>
      </c>
      <c r="J147" s="4">
        <v>152395.20000000001</v>
      </c>
      <c r="K147" s="6">
        <v>10</v>
      </c>
      <c r="L147" s="4">
        <v>137155.68</v>
      </c>
      <c r="M147" s="4">
        <v>88235.3</v>
      </c>
      <c r="N147" s="4">
        <v>48920.38</v>
      </c>
      <c r="O147" s="6">
        <v>35.67</v>
      </c>
      <c r="P147" s="1" t="s">
        <v>31</v>
      </c>
      <c r="Q147" s="1" t="s">
        <v>32</v>
      </c>
      <c r="R147" s="1" t="s">
        <v>26</v>
      </c>
    </row>
    <row r="148" spans="1:18" x14ac:dyDescent="0.25">
      <c r="A148" s="1" t="s">
        <v>464</v>
      </c>
      <c r="B148" s="2">
        <v>45276</v>
      </c>
      <c r="C148" s="1" t="s">
        <v>19</v>
      </c>
      <c r="D148" s="1" t="s">
        <v>75</v>
      </c>
      <c r="E148" s="1" t="s">
        <v>53</v>
      </c>
      <c r="F148" s="1" t="s">
        <v>81</v>
      </c>
      <c r="G148" s="1" t="s">
        <v>186</v>
      </c>
      <c r="H148">
        <v>33</v>
      </c>
      <c r="I148" s="4">
        <v>4586.1899999999996</v>
      </c>
      <c r="J148" s="4">
        <v>151344.26999999999</v>
      </c>
      <c r="K148" s="6">
        <v>25</v>
      </c>
      <c r="L148" s="4">
        <v>113508.2</v>
      </c>
      <c r="M148" s="4">
        <v>68268.63</v>
      </c>
      <c r="N148" s="4">
        <v>45239.57</v>
      </c>
      <c r="O148" s="6">
        <v>39.86</v>
      </c>
      <c r="P148" s="1" t="s">
        <v>44</v>
      </c>
      <c r="Q148" s="1" t="s">
        <v>56</v>
      </c>
      <c r="R148" s="1" t="s">
        <v>26</v>
      </c>
    </row>
    <row r="149" spans="1:18" x14ac:dyDescent="0.25">
      <c r="A149" s="1" t="s">
        <v>578</v>
      </c>
      <c r="B149" s="2">
        <v>45141</v>
      </c>
      <c r="C149" s="1" t="s">
        <v>51</v>
      </c>
      <c r="D149" s="1" t="s">
        <v>84</v>
      </c>
      <c r="E149" s="1" t="s">
        <v>65</v>
      </c>
      <c r="F149" s="1" t="s">
        <v>60</v>
      </c>
      <c r="G149" s="1" t="s">
        <v>347</v>
      </c>
      <c r="H149">
        <v>8</v>
      </c>
      <c r="I149" s="4">
        <v>18862.990000000002</v>
      </c>
      <c r="J149" s="4">
        <v>150903.92000000001</v>
      </c>
      <c r="K149" s="6">
        <v>15</v>
      </c>
      <c r="L149" s="4">
        <v>128268.33</v>
      </c>
      <c r="M149" s="4">
        <v>52182.69</v>
      </c>
      <c r="N149" s="4">
        <v>76085.64</v>
      </c>
      <c r="O149" s="6">
        <v>59.32</v>
      </c>
      <c r="P149" s="1" t="s">
        <v>31</v>
      </c>
      <c r="Q149" s="1" t="s">
        <v>106</v>
      </c>
      <c r="R149" s="1" t="s">
        <v>26</v>
      </c>
    </row>
    <row r="150" spans="1:18" x14ac:dyDescent="0.25">
      <c r="A150" s="1" t="s">
        <v>267</v>
      </c>
      <c r="B150" s="2">
        <v>45507</v>
      </c>
      <c r="C150" s="1" t="s">
        <v>58</v>
      </c>
      <c r="D150" s="1" t="s">
        <v>79</v>
      </c>
      <c r="E150" s="1" t="s">
        <v>21</v>
      </c>
      <c r="F150" s="1" t="s">
        <v>29</v>
      </c>
      <c r="G150" s="1" t="s">
        <v>73</v>
      </c>
      <c r="H150">
        <v>50</v>
      </c>
      <c r="I150" s="4">
        <v>2991.94</v>
      </c>
      <c r="J150" s="4">
        <v>149597</v>
      </c>
      <c r="K150" s="6">
        <v>10</v>
      </c>
      <c r="L150" s="4">
        <v>134637.29999999999</v>
      </c>
      <c r="M150" s="4">
        <v>69318.86</v>
      </c>
      <c r="N150" s="4">
        <v>65318.44</v>
      </c>
      <c r="O150" s="6">
        <v>48.51</v>
      </c>
      <c r="P150" s="1" t="s">
        <v>24</v>
      </c>
      <c r="Q150" s="1" t="s">
        <v>25</v>
      </c>
      <c r="R150" s="1" t="s">
        <v>26</v>
      </c>
    </row>
    <row r="151" spans="1:18" x14ac:dyDescent="0.25">
      <c r="A151" s="1" t="s">
        <v>171</v>
      </c>
      <c r="B151" s="2">
        <v>45633</v>
      </c>
      <c r="C151" s="1" t="s">
        <v>34</v>
      </c>
      <c r="D151" s="1" t="s">
        <v>172</v>
      </c>
      <c r="E151" s="1" t="s">
        <v>120</v>
      </c>
      <c r="F151" s="1" t="s">
        <v>47</v>
      </c>
      <c r="G151" s="1" t="s">
        <v>115</v>
      </c>
      <c r="H151">
        <v>47</v>
      </c>
      <c r="I151" s="4">
        <v>3171.36</v>
      </c>
      <c r="J151" s="4">
        <v>149053.92000000001</v>
      </c>
      <c r="K151" s="6">
        <v>0</v>
      </c>
      <c r="L151" s="4">
        <v>149053.92000000001</v>
      </c>
      <c r="M151" s="4">
        <v>92840.37</v>
      </c>
      <c r="N151" s="4">
        <v>56213.55</v>
      </c>
      <c r="O151" s="6">
        <v>37.71</v>
      </c>
      <c r="P151" s="1" t="s">
        <v>49</v>
      </c>
      <c r="Q151" s="1" t="s">
        <v>106</v>
      </c>
      <c r="R151" s="1" t="s">
        <v>26</v>
      </c>
    </row>
    <row r="152" spans="1:18" x14ac:dyDescent="0.25">
      <c r="A152" s="1" t="s">
        <v>239</v>
      </c>
      <c r="B152" s="2">
        <v>45570</v>
      </c>
      <c r="C152" s="1" t="s">
        <v>34</v>
      </c>
      <c r="D152" s="1" t="s">
        <v>46</v>
      </c>
      <c r="E152" s="1" t="s">
        <v>42</v>
      </c>
      <c r="F152" s="1" t="s">
        <v>29</v>
      </c>
      <c r="G152" s="1" t="s">
        <v>68</v>
      </c>
      <c r="H152">
        <v>49</v>
      </c>
      <c r="I152" s="4">
        <v>3035.91</v>
      </c>
      <c r="J152" s="4">
        <v>148759.59</v>
      </c>
      <c r="K152" s="6">
        <v>5</v>
      </c>
      <c r="L152" s="4">
        <v>141321.60999999999</v>
      </c>
      <c r="M152" s="4">
        <v>96860.09</v>
      </c>
      <c r="N152" s="4">
        <v>44461.52</v>
      </c>
      <c r="O152" s="6">
        <v>31.46</v>
      </c>
      <c r="P152" s="1" t="s">
        <v>62</v>
      </c>
      <c r="Q152" s="1" t="s">
        <v>32</v>
      </c>
      <c r="R152" s="1" t="s">
        <v>26</v>
      </c>
    </row>
    <row r="153" spans="1:18" x14ac:dyDescent="0.25">
      <c r="A153" s="1" t="s">
        <v>310</v>
      </c>
      <c r="B153" s="2">
        <v>45479</v>
      </c>
      <c r="C153" s="1" t="s">
        <v>51</v>
      </c>
      <c r="D153" s="1" t="s">
        <v>52</v>
      </c>
      <c r="E153" s="1" t="s">
        <v>85</v>
      </c>
      <c r="F153" s="1" t="s">
        <v>47</v>
      </c>
      <c r="G153" s="1" t="s">
        <v>108</v>
      </c>
      <c r="H153">
        <v>25</v>
      </c>
      <c r="I153" s="4">
        <v>5853.21</v>
      </c>
      <c r="J153" s="4">
        <v>146330.25</v>
      </c>
      <c r="K153" s="6">
        <v>25</v>
      </c>
      <c r="L153" s="4">
        <v>109747.69</v>
      </c>
      <c r="M153" s="4">
        <v>75642.86</v>
      </c>
      <c r="N153" s="4">
        <v>34104.83</v>
      </c>
      <c r="O153" s="6">
        <v>31.08</v>
      </c>
      <c r="P153" s="1" t="s">
        <v>49</v>
      </c>
      <c r="Q153" s="1" t="s">
        <v>63</v>
      </c>
      <c r="R153" s="1" t="s">
        <v>26</v>
      </c>
    </row>
    <row r="154" spans="1:18" x14ac:dyDescent="0.25">
      <c r="A154" s="1" t="s">
        <v>238</v>
      </c>
      <c r="B154" s="2">
        <v>45587</v>
      </c>
      <c r="C154" s="1" t="s">
        <v>19</v>
      </c>
      <c r="D154" s="1" t="s">
        <v>75</v>
      </c>
      <c r="E154" s="1" t="s">
        <v>53</v>
      </c>
      <c r="F154" s="1" t="s">
        <v>81</v>
      </c>
      <c r="G154" s="1" t="s">
        <v>110</v>
      </c>
      <c r="H154">
        <v>50</v>
      </c>
      <c r="I154" s="4">
        <v>2925.13</v>
      </c>
      <c r="J154" s="4">
        <v>146256.5</v>
      </c>
      <c r="K154" s="6">
        <v>25</v>
      </c>
      <c r="L154" s="4">
        <v>109692.38</v>
      </c>
      <c r="M154" s="4">
        <v>75409.89</v>
      </c>
      <c r="N154" s="4">
        <v>34282.49</v>
      </c>
      <c r="O154" s="6">
        <v>31.25</v>
      </c>
      <c r="P154" s="1" t="s">
        <v>49</v>
      </c>
      <c r="Q154" s="1" t="s">
        <v>106</v>
      </c>
      <c r="R154" s="1" t="s">
        <v>26</v>
      </c>
    </row>
    <row r="155" spans="1:18" x14ac:dyDescent="0.25">
      <c r="A155" s="1" t="s">
        <v>246</v>
      </c>
      <c r="B155" s="2">
        <v>45628</v>
      </c>
      <c r="C155" s="1" t="s">
        <v>19</v>
      </c>
      <c r="D155" s="1" t="s">
        <v>166</v>
      </c>
      <c r="E155" s="1" t="s">
        <v>112</v>
      </c>
      <c r="F155" s="1" t="s">
        <v>81</v>
      </c>
      <c r="G155" s="1" t="s">
        <v>178</v>
      </c>
      <c r="H155">
        <v>22</v>
      </c>
      <c r="I155" s="4">
        <v>6542.84</v>
      </c>
      <c r="J155" s="4">
        <v>143942.48000000001</v>
      </c>
      <c r="K155" s="6">
        <v>25</v>
      </c>
      <c r="L155" s="4">
        <v>107956.86</v>
      </c>
      <c r="M155" s="4">
        <v>65945.37</v>
      </c>
      <c r="N155" s="4">
        <v>42011.49</v>
      </c>
      <c r="O155" s="6">
        <v>38.92</v>
      </c>
      <c r="P155" s="1" t="s">
        <v>31</v>
      </c>
      <c r="Q155" s="1" t="s">
        <v>56</v>
      </c>
      <c r="R155" s="1" t="s">
        <v>26</v>
      </c>
    </row>
    <row r="156" spans="1:18" x14ac:dyDescent="0.25">
      <c r="A156" s="1" t="s">
        <v>480</v>
      </c>
      <c r="B156" s="2">
        <v>45150</v>
      </c>
      <c r="C156" s="1" t="s">
        <v>58</v>
      </c>
      <c r="D156" s="1" t="s">
        <v>79</v>
      </c>
      <c r="E156" s="1" t="s">
        <v>53</v>
      </c>
      <c r="F156" s="1" t="s">
        <v>47</v>
      </c>
      <c r="G156" s="1" t="s">
        <v>115</v>
      </c>
      <c r="H156">
        <v>14</v>
      </c>
      <c r="I156" s="4">
        <v>10067.85</v>
      </c>
      <c r="J156" s="4">
        <v>140949.9</v>
      </c>
      <c r="K156" s="6">
        <v>10</v>
      </c>
      <c r="L156" s="4">
        <v>126854.91</v>
      </c>
      <c r="M156" s="4">
        <v>64472.66</v>
      </c>
      <c r="N156" s="4">
        <v>62382.25</v>
      </c>
      <c r="O156" s="6">
        <v>49.18</v>
      </c>
      <c r="P156" s="1" t="s">
        <v>31</v>
      </c>
      <c r="Q156" s="1" t="s">
        <v>25</v>
      </c>
      <c r="R156" s="1" t="s">
        <v>26</v>
      </c>
    </row>
    <row r="157" spans="1:18" x14ac:dyDescent="0.25">
      <c r="A157" s="1" t="s">
        <v>622</v>
      </c>
      <c r="B157" s="2">
        <v>45007</v>
      </c>
      <c r="C157" s="1" t="s">
        <v>58</v>
      </c>
      <c r="D157" s="1" t="s">
        <v>119</v>
      </c>
      <c r="E157" s="1" t="s">
        <v>36</v>
      </c>
      <c r="F157" s="1" t="s">
        <v>47</v>
      </c>
      <c r="G157" s="1" t="s">
        <v>230</v>
      </c>
      <c r="H157">
        <v>13</v>
      </c>
      <c r="I157" s="4">
        <v>10793.97</v>
      </c>
      <c r="J157" s="4">
        <v>140321.60999999999</v>
      </c>
      <c r="K157" s="6">
        <v>25</v>
      </c>
      <c r="L157" s="4">
        <v>105241.21</v>
      </c>
      <c r="M157" s="4">
        <v>67647.990000000005</v>
      </c>
      <c r="N157" s="4">
        <v>37593.22</v>
      </c>
      <c r="O157" s="6">
        <v>35.72</v>
      </c>
      <c r="P157" s="1" t="s">
        <v>62</v>
      </c>
      <c r="Q157" s="1" t="s">
        <v>25</v>
      </c>
      <c r="R157" s="1" t="s">
        <v>26</v>
      </c>
    </row>
    <row r="158" spans="1:18" x14ac:dyDescent="0.25">
      <c r="A158" s="1" t="s">
        <v>270</v>
      </c>
      <c r="B158" s="2">
        <v>45016</v>
      </c>
      <c r="C158" s="1" t="s">
        <v>58</v>
      </c>
      <c r="D158" s="1" t="s">
        <v>126</v>
      </c>
      <c r="E158" s="1" t="s">
        <v>72</v>
      </c>
      <c r="F158" s="1" t="s">
        <v>60</v>
      </c>
      <c r="G158" s="1" t="s">
        <v>188</v>
      </c>
      <c r="H158">
        <v>5</v>
      </c>
      <c r="I158" s="4">
        <v>27560.93</v>
      </c>
      <c r="J158" s="4">
        <v>137804.65</v>
      </c>
      <c r="K158" s="6">
        <v>25</v>
      </c>
      <c r="L158" s="4">
        <v>103353.49</v>
      </c>
      <c r="M158" s="4">
        <v>55142.53</v>
      </c>
      <c r="N158" s="4">
        <v>48210.96</v>
      </c>
      <c r="O158" s="6">
        <v>46.65</v>
      </c>
      <c r="P158" s="1" t="s">
        <v>44</v>
      </c>
      <c r="Q158" s="1" t="s">
        <v>63</v>
      </c>
      <c r="R158" s="1" t="s">
        <v>26</v>
      </c>
    </row>
    <row r="159" spans="1:18" x14ac:dyDescent="0.25">
      <c r="A159" s="1" t="s">
        <v>271</v>
      </c>
      <c r="B159" s="2">
        <v>45644</v>
      </c>
      <c r="C159" s="1" t="s">
        <v>19</v>
      </c>
      <c r="D159" s="1" t="s">
        <v>75</v>
      </c>
      <c r="E159" s="1" t="s">
        <v>53</v>
      </c>
      <c r="F159" s="1" t="s">
        <v>81</v>
      </c>
      <c r="G159" s="1" t="s">
        <v>186</v>
      </c>
      <c r="H159">
        <v>20</v>
      </c>
      <c r="I159" s="4">
        <v>6840.62</v>
      </c>
      <c r="J159" s="4">
        <v>136812.4</v>
      </c>
      <c r="K159" s="6">
        <v>25</v>
      </c>
      <c r="L159" s="4">
        <v>102609.3</v>
      </c>
      <c r="M159" s="4">
        <v>62886.07</v>
      </c>
      <c r="N159" s="4">
        <v>39723.230000000003</v>
      </c>
      <c r="O159" s="6">
        <v>38.71</v>
      </c>
      <c r="P159" s="1" t="s">
        <v>49</v>
      </c>
      <c r="Q159" s="1" t="s">
        <v>38</v>
      </c>
      <c r="R159" s="1" t="s">
        <v>26</v>
      </c>
    </row>
    <row r="160" spans="1:18" x14ac:dyDescent="0.25">
      <c r="A160" s="1" t="s">
        <v>496</v>
      </c>
      <c r="B160" s="2">
        <v>45155</v>
      </c>
      <c r="C160" s="1" t="s">
        <v>51</v>
      </c>
      <c r="D160" s="1" t="s">
        <v>88</v>
      </c>
      <c r="E160" s="1" t="s">
        <v>28</v>
      </c>
      <c r="F160" s="1" t="s">
        <v>81</v>
      </c>
      <c r="G160" s="1" t="s">
        <v>186</v>
      </c>
      <c r="H160">
        <v>35</v>
      </c>
      <c r="I160" s="4">
        <v>3882.41</v>
      </c>
      <c r="J160" s="4">
        <v>135884.35</v>
      </c>
      <c r="K160" s="6">
        <v>5</v>
      </c>
      <c r="L160" s="4">
        <v>129090.13</v>
      </c>
      <c r="M160" s="4">
        <v>65803.12</v>
      </c>
      <c r="N160" s="4">
        <v>63287.01</v>
      </c>
      <c r="O160" s="6">
        <v>49.03</v>
      </c>
      <c r="P160" s="1" t="s">
        <v>31</v>
      </c>
      <c r="Q160" s="1" t="s">
        <v>63</v>
      </c>
      <c r="R160" s="1" t="s">
        <v>26</v>
      </c>
    </row>
    <row r="161" spans="1:18" x14ac:dyDescent="0.25">
      <c r="A161" s="1" t="s">
        <v>201</v>
      </c>
      <c r="B161" s="2">
        <v>45348</v>
      </c>
      <c r="C161" s="1" t="s">
        <v>19</v>
      </c>
      <c r="D161" s="1" t="s">
        <v>20</v>
      </c>
      <c r="E161" s="1" t="s">
        <v>139</v>
      </c>
      <c r="F161" s="1" t="s">
        <v>47</v>
      </c>
      <c r="G161" s="1" t="s">
        <v>202</v>
      </c>
      <c r="H161">
        <v>23</v>
      </c>
      <c r="I161" s="4">
        <v>5841.42</v>
      </c>
      <c r="J161" s="4">
        <v>134352.66</v>
      </c>
      <c r="K161" s="6">
        <v>5</v>
      </c>
      <c r="L161" s="4">
        <v>127635.03</v>
      </c>
      <c r="M161" s="4">
        <v>60404.46</v>
      </c>
      <c r="N161" s="4">
        <v>67230.570000000007</v>
      </c>
      <c r="O161" s="6">
        <v>52.67</v>
      </c>
      <c r="P161" s="1" t="s">
        <v>31</v>
      </c>
      <c r="Q161" s="1" t="s">
        <v>63</v>
      </c>
      <c r="R161" s="1" t="s">
        <v>26</v>
      </c>
    </row>
    <row r="162" spans="1:18" x14ac:dyDescent="0.25">
      <c r="A162" s="1" t="s">
        <v>462</v>
      </c>
      <c r="B162" s="2">
        <v>45381</v>
      </c>
      <c r="C162" s="1" t="s">
        <v>34</v>
      </c>
      <c r="D162" s="1" t="s">
        <v>35</v>
      </c>
      <c r="E162" s="1" t="s">
        <v>28</v>
      </c>
      <c r="F162" s="1" t="s">
        <v>81</v>
      </c>
      <c r="G162" s="1" t="s">
        <v>110</v>
      </c>
      <c r="H162">
        <v>42</v>
      </c>
      <c r="I162" s="4">
        <v>3153.37</v>
      </c>
      <c r="J162" s="4">
        <v>132441.54</v>
      </c>
      <c r="K162" s="6">
        <v>5</v>
      </c>
      <c r="L162" s="4">
        <v>125819.46</v>
      </c>
      <c r="M162" s="4">
        <v>53303.31</v>
      </c>
      <c r="N162" s="4">
        <v>72516.149999999994</v>
      </c>
      <c r="O162" s="6">
        <v>57.64</v>
      </c>
      <c r="P162" s="1" t="s">
        <v>31</v>
      </c>
      <c r="Q162" s="1" t="s">
        <v>32</v>
      </c>
      <c r="R162" s="1" t="s">
        <v>26</v>
      </c>
    </row>
    <row r="163" spans="1:18" x14ac:dyDescent="0.25">
      <c r="A163" s="1" t="s">
        <v>500</v>
      </c>
      <c r="B163" s="2">
        <v>45006</v>
      </c>
      <c r="C163" s="1" t="s">
        <v>34</v>
      </c>
      <c r="D163" s="1" t="s">
        <v>172</v>
      </c>
      <c r="E163" s="1" t="s">
        <v>129</v>
      </c>
      <c r="F163" s="1" t="s">
        <v>81</v>
      </c>
      <c r="G163" s="1" t="s">
        <v>82</v>
      </c>
      <c r="H163">
        <v>42</v>
      </c>
      <c r="I163" s="4">
        <v>3152.44</v>
      </c>
      <c r="J163" s="4">
        <v>132402.48000000001</v>
      </c>
      <c r="K163" s="6">
        <v>20</v>
      </c>
      <c r="L163" s="4">
        <v>105921.98</v>
      </c>
      <c r="M163" s="4">
        <v>63129.599999999999</v>
      </c>
      <c r="N163" s="4">
        <v>42792.38</v>
      </c>
      <c r="O163" s="6">
        <v>40.4</v>
      </c>
      <c r="P163" s="1" t="s">
        <v>31</v>
      </c>
      <c r="Q163" s="1" t="s">
        <v>38</v>
      </c>
      <c r="R163" s="1" t="s">
        <v>26</v>
      </c>
    </row>
    <row r="164" spans="1:18" x14ac:dyDescent="0.25">
      <c r="A164" s="1" t="s">
        <v>425</v>
      </c>
      <c r="B164" s="2">
        <v>45197</v>
      </c>
      <c r="C164" s="1" t="s">
        <v>19</v>
      </c>
      <c r="D164" s="1" t="s">
        <v>20</v>
      </c>
      <c r="E164" s="1" t="s">
        <v>42</v>
      </c>
      <c r="F164" s="1" t="s">
        <v>81</v>
      </c>
      <c r="G164" s="1" t="s">
        <v>134</v>
      </c>
      <c r="H164">
        <v>19</v>
      </c>
      <c r="I164" s="4">
        <v>6966.31</v>
      </c>
      <c r="J164" s="4">
        <v>132359.89000000001</v>
      </c>
      <c r="K164" s="6">
        <v>10</v>
      </c>
      <c r="L164" s="4">
        <v>119123.9</v>
      </c>
      <c r="M164" s="4">
        <v>79022.990000000005</v>
      </c>
      <c r="N164" s="4">
        <v>40100.910000000003</v>
      </c>
      <c r="O164" s="6">
        <v>33.659999999999997</v>
      </c>
      <c r="P164" s="1" t="s">
        <v>62</v>
      </c>
      <c r="Q164" s="1" t="s">
        <v>63</v>
      </c>
      <c r="R164" s="1" t="s">
        <v>26</v>
      </c>
    </row>
    <row r="165" spans="1:18" x14ac:dyDescent="0.25">
      <c r="A165" s="1" t="s">
        <v>465</v>
      </c>
      <c r="B165" s="2">
        <v>45601</v>
      </c>
      <c r="C165" s="1" t="s">
        <v>58</v>
      </c>
      <c r="D165" s="1" t="s">
        <v>59</v>
      </c>
      <c r="E165" s="1" t="s">
        <v>65</v>
      </c>
      <c r="F165" s="1" t="s">
        <v>81</v>
      </c>
      <c r="G165" s="1" t="s">
        <v>92</v>
      </c>
      <c r="H165">
        <v>43</v>
      </c>
      <c r="I165" s="4">
        <v>3033.7</v>
      </c>
      <c r="J165" s="4">
        <v>130449.1</v>
      </c>
      <c r="K165" s="6">
        <v>15</v>
      </c>
      <c r="L165" s="4">
        <v>110881.74</v>
      </c>
      <c r="M165" s="4">
        <v>48145.63</v>
      </c>
      <c r="N165" s="4">
        <v>62736.11</v>
      </c>
      <c r="O165" s="6">
        <v>56.58</v>
      </c>
      <c r="P165" s="1" t="s">
        <v>49</v>
      </c>
      <c r="Q165" s="1" t="s">
        <v>56</v>
      </c>
      <c r="R165" s="1" t="s">
        <v>26</v>
      </c>
    </row>
    <row r="166" spans="1:18" x14ac:dyDescent="0.25">
      <c r="A166" s="1" t="s">
        <v>529</v>
      </c>
      <c r="B166" s="2">
        <v>45356</v>
      </c>
      <c r="C166" s="1" t="s">
        <v>34</v>
      </c>
      <c r="D166" s="1" t="s">
        <v>46</v>
      </c>
      <c r="E166" s="1" t="s">
        <v>104</v>
      </c>
      <c r="F166" s="1" t="s">
        <v>47</v>
      </c>
      <c r="G166" s="1" t="s">
        <v>77</v>
      </c>
      <c r="H166">
        <v>22</v>
      </c>
      <c r="I166" s="4">
        <v>5710.79</v>
      </c>
      <c r="J166" s="4">
        <v>125637.38</v>
      </c>
      <c r="K166" s="6">
        <v>15</v>
      </c>
      <c r="L166" s="4">
        <v>106791.77</v>
      </c>
      <c r="M166" s="4">
        <v>56298.79</v>
      </c>
      <c r="N166" s="4">
        <v>50492.98</v>
      </c>
      <c r="O166" s="6">
        <v>47.28</v>
      </c>
      <c r="P166" s="1" t="s">
        <v>44</v>
      </c>
      <c r="Q166" s="1" t="s">
        <v>38</v>
      </c>
      <c r="R166" s="1" t="s">
        <v>26</v>
      </c>
    </row>
    <row r="167" spans="1:18" x14ac:dyDescent="0.25">
      <c r="A167" s="1" t="s">
        <v>152</v>
      </c>
      <c r="B167" s="2">
        <v>45585</v>
      </c>
      <c r="C167" s="1" t="s">
        <v>58</v>
      </c>
      <c r="D167" s="1" t="s">
        <v>126</v>
      </c>
      <c r="E167" s="1" t="s">
        <v>53</v>
      </c>
      <c r="F167" s="1" t="s">
        <v>81</v>
      </c>
      <c r="G167" s="1" t="s">
        <v>105</v>
      </c>
      <c r="H167">
        <v>26</v>
      </c>
      <c r="I167" s="4">
        <v>4816.76</v>
      </c>
      <c r="J167" s="4">
        <v>125235.76</v>
      </c>
      <c r="K167" s="6">
        <v>25</v>
      </c>
      <c r="L167" s="4">
        <v>93926.82</v>
      </c>
      <c r="M167" s="4">
        <v>38334.410000000003</v>
      </c>
      <c r="N167" s="4">
        <v>55592.41</v>
      </c>
      <c r="O167" s="6">
        <v>59.19</v>
      </c>
      <c r="P167" s="1" t="s">
        <v>62</v>
      </c>
      <c r="Q167" s="1" t="s">
        <v>106</v>
      </c>
      <c r="R167" s="1" t="s">
        <v>26</v>
      </c>
    </row>
    <row r="168" spans="1:18" x14ac:dyDescent="0.25">
      <c r="A168" s="1" t="s">
        <v>217</v>
      </c>
      <c r="B168" s="2">
        <v>45148</v>
      </c>
      <c r="C168" s="1" t="s">
        <v>19</v>
      </c>
      <c r="D168" s="1" t="s">
        <v>20</v>
      </c>
      <c r="E168" s="1" t="s">
        <v>80</v>
      </c>
      <c r="F168" s="1" t="s">
        <v>47</v>
      </c>
      <c r="G168" s="1" t="s">
        <v>115</v>
      </c>
      <c r="H168">
        <v>37</v>
      </c>
      <c r="I168" s="4">
        <v>3356.26</v>
      </c>
      <c r="J168" s="4">
        <v>124181.62</v>
      </c>
      <c r="K168" s="6">
        <v>20</v>
      </c>
      <c r="L168" s="4">
        <v>99345.3</v>
      </c>
      <c r="M168" s="4">
        <v>45912.15</v>
      </c>
      <c r="N168" s="4">
        <v>53433.15</v>
      </c>
      <c r="O168" s="6">
        <v>53.79</v>
      </c>
      <c r="P168" s="1" t="s">
        <v>49</v>
      </c>
      <c r="Q168" s="1" t="s">
        <v>38</v>
      </c>
      <c r="R168" s="1" t="s">
        <v>26</v>
      </c>
    </row>
    <row r="169" spans="1:18" x14ac:dyDescent="0.25">
      <c r="A169" s="1" t="s">
        <v>586</v>
      </c>
      <c r="B169" s="2">
        <v>45252</v>
      </c>
      <c r="C169" s="1" t="s">
        <v>51</v>
      </c>
      <c r="D169" s="1" t="s">
        <v>98</v>
      </c>
      <c r="E169" s="1" t="s">
        <v>129</v>
      </c>
      <c r="F169" s="1" t="s">
        <v>47</v>
      </c>
      <c r="G169" s="1" t="s">
        <v>127</v>
      </c>
      <c r="H169">
        <v>50</v>
      </c>
      <c r="I169" s="4">
        <v>2476.48</v>
      </c>
      <c r="J169" s="4">
        <v>123824</v>
      </c>
      <c r="K169" s="6">
        <v>20</v>
      </c>
      <c r="L169" s="4">
        <v>99059.199999999997</v>
      </c>
      <c r="M169" s="4">
        <v>66878.2</v>
      </c>
      <c r="N169" s="4">
        <v>32181</v>
      </c>
      <c r="O169" s="6">
        <v>32.49</v>
      </c>
      <c r="P169" s="1" t="s">
        <v>24</v>
      </c>
      <c r="Q169" s="1" t="s">
        <v>25</v>
      </c>
      <c r="R169" s="1" t="s">
        <v>26</v>
      </c>
    </row>
    <row r="170" spans="1:18" x14ac:dyDescent="0.25">
      <c r="A170" s="1" t="s">
        <v>479</v>
      </c>
      <c r="B170" s="2">
        <v>45460</v>
      </c>
      <c r="C170" s="1" t="s">
        <v>34</v>
      </c>
      <c r="D170" s="1" t="s">
        <v>133</v>
      </c>
      <c r="E170" s="1" t="s">
        <v>120</v>
      </c>
      <c r="F170" s="1" t="s">
        <v>81</v>
      </c>
      <c r="G170" s="1" t="s">
        <v>163</v>
      </c>
      <c r="H170">
        <v>46</v>
      </c>
      <c r="I170" s="4">
        <v>2679.3</v>
      </c>
      <c r="J170" s="4">
        <v>123247.8</v>
      </c>
      <c r="K170" s="6">
        <v>5</v>
      </c>
      <c r="L170" s="4">
        <v>117085.41</v>
      </c>
      <c r="M170" s="4">
        <v>80448.95</v>
      </c>
      <c r="N170" s="4">
        <v>36636.46</v>
      </c>
      <c r="O170" s="6">
        <v>31.29</v>
      </c>
      <c r="P170" s="1" t="s">
        <v>24</v>
      </c>
      <c r="Q170" s="1" t="s">
        <v>25</v>
      </c>
      <c r="R170" s="1" t="s">
        <v>26</v>
      </c>
    </row>
    <row r="171" spans="1:18" x14ac:dyDescent="0.25">
      <c r="A171" s="1" t="s">
        <v>315</v>
      </c>
      <c r="B171" s="2">
        <v>45497</v>
      </c>
      <c r="C171" s="1" t="s">
        <v>34</v>
      </c>
      <c r="D171" s="1" t="s">
        <v>46</v>
      </c>
      <c r="E171" s="1" t="s">
        <v>112</v>
      </c>
      <c r="F171" s="1" t="s">
        <v>47</v>
      </c>
      <c r="G171" s="1" t="s">
        <v>127</v>
      </c>
      <c r="H171">
        <v>34</v>
      </c>
      <c r="I171" s="4">
        <v>3588.28</v>
      </c>
      <c r="J171" s="4">
        <v>122001.52</v>
      </c>
      <c r="K171" s="6">
        <v>10</v>
      </c>
      <c r="L171" s="4">
        <v>109801.37</v>
      </c>
      <c r="M171" s="4">
        <v>52984.23</v>
      </c>
      <c r="N171" s="4">
        <v>56817.14</v>
      </c>
      <c r="O171" s="6">
        <v>51.75</v>
      </c>
      <c r="P171" s="1" t="s">
        <v>31</v>
      </c>
      <c r="Q171" s="1" t="s">
        <v>63</v>
      </c>
      <c r="R171" s="1" t="s">
        <v>26</v>
      </c>
    </row>
    <row r="172" spans="1:18" x14ac:dyDescent="0.25">
      <c r="A172" s="1" t="s">
        <v>352</v>
      </c>
      <c r="B172" s="2">
        <v>45571</v>
      </c>
      <c r="C172" s="1" t="s">
        <v>51</v>
      </c>
      <c r="D172" s="1" t="s">
        <v>91</v>
      </c>
      <c r="E172" s="1" t="s">
        <v>28</v>
      </c>
      <c r="F172" s="1" t="s">
        <v>29</v>
      </c>
      <c r="G172" s="1" t="s">
        <v>322</v>
      </c>
      <c r="H172">
        <v>28</v>
      </c>
      <c r="I172" s="4">
        <v>4323.47</v>
      </c>
      <c r="J172" s="4">
        <v>121057.16</v>
      </c>
      <c r="K172" s="6">
        <v>5</v>
      </c>
      <c r="L172" s="4">
        <v>115004.3</v>
      </c>
      <c r="M172" s="4">
        <v>73525.320000000007</v>
      </c>
      <c r="N172" s="4">
        <v>41478.980000000003</v>
      </c>
      <c r="O172" s="6">
        <v>36.07</v>
      </c>
      <c r="P172" s="1" t="s">
        <v>49</v>
      </c>
      <c r="Q172" s="1" t="s">
        <v>106</v>
      </c>
      <c r="R172" s="1" t="s">
        <v>26</v>
      </c>
    </row>
    <row r="173" spans="1:18" x14ac:dyDescent="0.25">
      <c r="A173" s="1" t="s">
        <v>403</v>
      </c>
      <c r="B173" s="2">
        <v>45525</v>
      </c>
      <c r="C173" s="1" t="s">
        <v>19</v>
      </c>
      <c r="D173" s="1" t="s">
        <v>166</v>
      </c>
      <c r="E173" s="1" t="s">
        <v>76</v>
      </c>
      <c r="F173" s="1" t="s">
        <v>81</v>
      </c>
      <c r="G173" s="1" t="s">
        <v>110</v>
      </c>
      <c r="H173">
        <v>50</v>
      </c>
      <c r="I173" s="4">
        <v>2391.27</v>
      </c>
      <c r="J173" s="4">
        <v>119563.5</v>
      </c>
      <c r="K173" s="6">
        <v>15</v>
      </c>
      <c r="L173" s="4">
        <v>101628.97</v>
      </c>
      <c r="M173" s="4">
        <v>56793.29</v>
      </c>
      <c r="N173" s="4">
        <v>44835.68</v>
      </c>
      <c r="O173" s="6">
        <v>44.12</v>
      </c>
      <c r="P173" s="1" t="s">
        <v>49</v>
      </c>
      <c r="Q173" s="1" t="s">
        <v>106</v>
      </c>
      <c r="R173" s="1" t="s">
        <v>26</v>
      </c>
    </row>
    <row r="174" spans="1:18" x14ac:dyDescent="0.25">
      <c r="A174" s="1" t="s">
        <v>535</v>
      </c>
      <c r="B174" s="2">
        <v>45000</v>
      </c>
      <c r="C174" s="1" t="s">
        <v>58</v>
      </c>
      <c r="D174" s="1" t="s">
        <v>126</v>
      </c>
      <c r="E174" s="1" t="s">
        <v>129</v>
      </c>
      <c r="F174" s="1" t="s">
        <v>29</v>
      </c>
      <c r="G174" s="1" t="s">
        <v>322</v>
      </c>
      <c r="H174">
        <v>41</v>
      </c>
      <c r="I174" s="4">
        <v>2852.32</v>
      </c>
      <c r="J174" s="4">
        <v>116945.12</v>
      </c>
      <c r="K174" s="6">
        <v>15</v>
      </c>
      <c r="L174" s="4">
        <v>99403.35</v>
      </c>
      <c r="M174" s="4">
        <v>65076.41</v>
      </c>
      <c r="N174" s="4">
        <v>34326.94</v>
      </c>
      <c r="O174" s="6">
        <v>34.53</v>
      </c>
      <c r="P174" s="1" t="s">
        <v>24</v>
      </c>
      <c r="Q174" s="1" t="s">
        <v>106</v>
      </c>
      <c r="R174" s="1" t="s">
        <v>26</v>
      </c>
    </row>
    <row r="175" spans="1:18" x14ac:dyDescent="0.25">
      <c r="A175" s="1" t="s">
        <v>343</v>
      </c>
      <c r="B175" s="2">
        <v>45485</v>
      </c>
      <c r="C175" s="1" t="s">
        <v>34</v>
      </c>
      <c r="D175" s="1" t="s">
        <v>133</v>
      </c>
      <c r="E175" s="1" t="s">
        <v>36</v>
      </c>
      <c r="F175" s="1" t="s">
        <v>47</v>
      </c>
      <c r="G175" s="1" t="s">
        <v>108</v>
      </c>
      <c r="H175">
        <v>8</v>
      </c>
      <c r="I175" s="4">
        <v>14004.78</v>
      </c>
      <c r="J175" s="4">
        <v>112038.24</v>
      </c>
      <c r="K175" s="6">
        <v>5</v>
      </c>
      <c r="L175" s="4">
        <v>106436.33</v>
      </c>
      <c r="M175" s="4">
        <v>61484.87</v>
      </c>
      <c r="N175" s="4">
        <v>44951.46</v>
      </c>
      <c r="O175" s="6">
        <v>42.23</v>
      </c>
      <c r="P175" s="1" t="s">
        <v>49</v>
      </c>
      <c r="Q175" s="1" t="s">
        <v>63</v>
      </c>
      <c r="R175" s="1" t="s">
        <v>26</v>
      </c>
    </row>
    <row r="176" spans="1:18" x14ac:dyDescent="0.25">
      <c r="A176" s="1" t="s">
        <v>357</v>
      </c>
      <c r="B176" s="2">
        <v>45104</v>
      </c>
      <c r="C176" s="1" t="s">
        <v>58</v>
      </c>
      <c r="D176" s="1" t="s">
        <v>150</v>
      </c>
      <c r="E176" s="1" t="s">
        <v>112</v>
      </c>
      <c r="F176" s="1" t="s">
        <v>29</v>
      </c>
      <c r="G176" s="1" t="s">
        <v>157</v>
      </c>
      <c r="H176">
        <v>35</v>
      </c>
      <c r="I176" s="4">
        <v>3197.09</v>
      </c>
      <c r="J176" s="4">
        <v>111898.15</v>
      </c>
      <c r="K176" s="6">
        <v>25</v>
      </c>
      <c r="L176" s="4">
        <v>83923.61</v>
      </c>
      <c r="M176" s="4">
        <v>57001.63</v>
      </c>
      <c r="N176" s="4">
        <v>26921.98</v>
      </c>
      <c r="O176" s="6">
        <v>32.08</v>
      </c>
      <c r="P176" s="1" t="s">
        <v>31</v>
      </c>
      <c r="Q176" s="1" t="s">
        <v>106</v>
      </c>
      <c r="R176" s="1" t="s">
        <v>26</v>
      </c>
    </row>
    <row r="177" spans="1:18" x14ac:dyDescent="0.25">
      <c r="A177" s="1" t="s">
        <v>74</v>
      </c>
      <c r="B177" s="2">
        <v>45173</v>
      </c>
      <c r="C177" s="1" t="s">
        <v>19</v>
      </c>
      <c r="D177" s="1" t="s">
        <v>75</v>
      </c>
      <c r="E177" s="1" t="s">
        <v>76</v>
      </c>
      <c r="F177" s="1" t="s">
        <v>47</v>
      </c>
      <c r="G177" s="1" t="s">
        <v>77</v>
      </c>
      <c r="H177">
        <v>8</v>
      </c>
      <c r="I177" s="4">
        <v>13961.29</v>
      </c>
      <c r="J177" s="4">
        <v>111690.32</v>
      </c>
      <c r="K177" s="6">
        <v>10</v>
      </c>
      <c r="L177" s="4">
        <v>100521.29</v>
      </c>
      <c r="M177" s="4">
        <v>47429.53</v>
      </c>
      <c r="N177" s="4">
        <v>53091.76</v>
      </c>
      <c r="O177" s="6">
        <v>52.82</v>
      </c>
      <c r="P177" s="1" t="s">
        <v>31</v>
      </c>
      <c r="Q177" s="1" t="s">
        <v>56</v>
      </c>
      <c r="R177" s="1" t="s">
        <v>26</v>
      </c>
    </row>
    <row r="178" spans="1:18" x14ac:dyDescent="0.25">
      <c r="A178" s="1" t="s">
        <v>429</v>
      </c>
      <c r="B178" s="2">
        <v>45463</v>
      </c>
      <c r="C178" s="1" t="s">
        <v>19</v>
      </c>
      <c r="D178" s="1" t="s">
        <v>75</v>
      </c>
      <c r="E178" s="1" t="s">
        <v>139</v>
      </c>
      <c r="F178" s="1" t="s">
        <v>29</v>
      </c>
      <c r="G178" s="1" t="s">
        <v>73</v>
      </c>
      <c r="H178">
        <v>46</v>
      </c>
      <c r="I178" s="4">
        <v>2403.88</v>
      </c>
      <c r="J178" s="4">
        <v>110578.48</v>
      </c>
      <c r="K178" s="6">
        <v>5</v>
      </c>
      <c r="L178" s="4">
        <v>105049.56</v>
      </c>
      <c r="M178" s="4">
        <v>66617.7</v>
      </c>
      <c r="N178" s="4">
        <v>38431.86</v>
      </c>
      <c r="O178" s="6">
        <v>36.58</v>
      </c>
      <c r="P178" s="1" t="s">
        <v>31</v>
      </c>
      <c r="Q178" s="1" t="s">
        <v>56</v>
      </c>
      <c r="R178" s="1" t="s">
        <v>26</v>
      </c>
    </row>
    <row r="179" spans="1:18" x14ac:dyDescent="0.25">
      <c r="A179" s="1" t="s">
        <v>616</v>
      </c>
      <c r="B179" s="2">
        <v>44964</v>
      </c>
      <c r="C179" s="1" t="s">
        <v>34</v>
      </c>
      <c r="D179" s="1" t="s">
        <v>172</v>
      </c>
      <c r="E179" s="1" t="s">
        <v>72</v>
      </c>
      <c r="F179" s="1" t="s">
        <v>29</v>
      </c>
      <c r="G179" s="1" t="s">
        <v>73</v>
      </c>
      <c r="H179">
        <v>34</v>
      </c>
      <c r="I179" s="4">
        <v>3126.05</v>
      </c>
      <c r="J179" s="4">
        <v>106285.7</v>
      </c>
      <c r="K179" s="6">
        <v>5</v>
      </c>
      <c r="L179" s="4">
        <v>100971.41</v>
      </c>
      <c r="M179" s="4">
        <v>46603.97</v>
      </c>
      <c r="N179" s="4">
        <v>54367.44</v>
      </c>
      <c r="O179" s="6">
        <v>53.84</v>
      </c>
      <c r="P179" s="1" t="s">
        <v>62</v>
      </c>
      <c r="Q179" s="1" t="s">
        <v>32</v>
      </c>
      <c r="R179" s="1" t="s">
        <v>26</v>
      </c>
    </row>
    <row r="180" spans="1:18" x14ac:dyDescent="0.25">
      <c r="A180" s="1" t="s">
        <v>225</v>
      </c>
      <c r="B180" s="2">
        <v>44979</v>
      </c>
      <c r="C180" s="1" t="s">
        <v>34</v>
      </c>
      <c r="D180" s="1" t="s">
        <v>35</v>
      </c>
      <c r="E180" s="1" t="s">
        <v>72</v>
      </c>
      <c r="F180" s="1" t="s">
        <v>54</v>
      </c>
      <c r="G180" s="1" t="s">
        <v>86</v>
      </c>
      <c r="H180">
        <v>43</v>
      </c>
      <c r="I180" s="4">
        <v>2361.66</v>
      </c>
      <c r="J180" s="4">
        <v>101551.38</v>
      </c>
      <c r="K180" s="6">
        <v>15</v>
      </c>
      <c r="L180" s="4">
        <v>86318.67</v>
      </c>
      <c r="M180" s="4">
        <v>57007.24</v>
      </c>
      <c r="N180" s="4">
        <v>29311.43</v>
      </c>
      <c r="O180" s="6">
        <v>33.96</v>
      </c>
      <c r="P180" s="1" t="s">
        <v>44</v>
      </c>
      <c r="Q180" s="1" t="s">
        <v>25</v>
      </c>
      <c r="R180" s="1" t="s">
        <v>26</v>
      </c>
    </row>
    <row r="181" spans="1:18" x14ac:dyDescent="0.25">
      <c r="A181" s="1" t="s">
        <v>176</v>
      </c>
      <c r="B181" s="2">
        <v>45158</v>
      </c>
      <c r="C181" s="1" t="s">
        <v>34</v>
      </c>
      <c r="D181" s="1" t="s">
        <v>35</v>
      </c>
      <c r="E181" s="1" t="s">
        <v>28</v>
      </c>
      <c r="F181" s="1" t="s">
        <v>29</v>
      </c>
      <c r="G181" s="1" t="s">
        <v>73</v>
      </c>
      <c r="H181">
        <v>49</v>
      </c>
      <c r="I181" s="4">
        <v>2018.74</v>
      </c>
      <c r="J181" s="4">
        <v>98918.26</v>
      </c>
      <c r="K181" s="6">
        <v>20</v>
      </c>
      <c r="L181" s="4">
        <v>79134.61</v>
      </c>
      <c r="M181" s="4">
        <v>50426.33</v>
      </c>
      <c r="N181" s="4">
        <v>28708.28</v>
      </c>
      <c r="O181" s="6">
        <v>36.28</v>
      </c>
      <c r="P181" s="1" t="s">
        <v>31</v>
      </c>
      <c r="Q181" s="1" t="s">
        <v>32</v>
      </c>
      <c r="R181" s="1" t="s">
        <v>26</v>
      </c>
    </row>
    <row r="182" spans="1:18" x14ac:dyDescent="0.25">
      <c r="A182" s="1" t="s">
        <v>497</v>
      </c>
      <c r="B182" s="2">
        <v>45555</v>
      </c>
      <c r="C182" s="1" t="s">
        <v>51</v>
      </c>
      <c r="D182" s="1" t="s">
        <v>52</v>
      </c>
      <c r="E182" s="1" t="s">
        <v>129</v>
      </c>
      <c r="F182" s="1" t="s">
        <v>81</v>
      </c>
      <c r="G182" s="1" t="s">
        <v>134</v>
      </c>
      <c r="H182">
        <v>24</v>
      </c>
      <c r="I182" s="4">
        <v>4116.8999999999996</v>
      </c>
      <c r="J182" s="4">
        <v>98805.6</v>
      </c>
      <c r="K182" s="6">
        <v>25</v>
      </c>
      <c r="L182" s="4">
        <v>74104.2</v>
      </c>
      <c r="M182" s="4">
        <v>34952.300000000003</v>
      </c>
      <c r="N182" s="4">
        <v>39151.9</v>
      </c>
      <c r="O182" s="6">
        <v>52.83</v>
      </c>
      <c r="P182" s="1" t="s">
        <v>49</v>
      </c>
      <c r="Q182" s="1" t="s">
        <v>25</v>
      </c>
      <c r="R182" s="1" t="s">
        <v>26</v>
      </c>
    </row>
    <row r="183" spans="1:18" x14ac:dyDescent="0.25">
      <c r="A183" s="1" t="s">
        <v>292</v>
      </c>
      <c r="B183" s="2">
        <v>45232</v>
      </c>
      <c r="C183" s="1" t="s">
        <v>34</v>
      </c>
      <c r="D183" s="1" t="s">
        <v>71</v>
      </c>
      <c r="E183" s="1" t="s">
        <v>104</v>
      </c>
      <c r="F183" s="1" t="s">
        <v>47</v>
      </c>
      <c r="G183" s="1" t="s">
        <v>230</v>
      </c>
      <c r="H183">
        <v>31</v>
      </c>
      <c r="I183" s="4">
        <v>3166.67</v>
      </c>
      <c r="J183" s="4">
        <v>98166.77</v>
      </c>
      <c r="K183" s="6">
        <v>5</v>
      </c>
      <c r="L183" s="4">
        <v>93258.43</v>
      </c>
      <c r="M183" s="4">
        <v>45109.279999999999</v>
      </c>
      <c r="N183" s="4">
        <v>48149.15</v>
      </c>
      <c r="O183" s="6">
        <v>51.63</v>
      </c>
      <c r="P183" s="1" t="s">
        <v>49</v>
      </c>
      <c r="Q183" s="1" t="s">
        <v>38</v>
      </c>
      <c r="R183" s="1" t="s">
        <v>26</v>
      </c>
    </row>
    <row r="184" spans="1:18" x14ac:dyDescent="0.25">
      <c r="A184" s="1" t="s">
        <v>153</v>
      </c>
      <c r="B184" s="2">
        <v>45315</v>
      </c>
      <c r="C184" s="1" t="s">
        <v>51</v>
      </c>
      <c r="D184" s="1" t="s">
        <v>88</v>
      </c>
      <c r="E184" s="1" t="s">
        <v>36</v>
      </c>
      <c r="F184" s="1" t="s">
        <v>47</v>
      </c>
      <c r="G184" s="1" t="s">
        <v>108</v>
      </c>
      <c r="H184">
        <v>14</v>
      </c>
      <c r="I184" s="4">
        <v>7011.35</v>
      </c>
      <c r="J184" s="4">
        <v>98158.9</v>
      </c>
      <c r="K184" s="6">
        <v>10</v>
      </c>
      <c r="L184" s="4">
        <v>88343.01</v>
      </c>
      <c r="M184" s="4">
        <v>55512</v>
      </c>
      <c r="N184" s="4">
        <v>32831.01</v>
      </c>
      <c r="O184" s="6">
        <v>37.159999999999997</v>
      </c>
      <c r="P184" s="1" t="s">
        <v>44</v>
      </c>
      <c r="Q184" s="1" t="s">
        <v>32</v>
      </c>
      <c r="R184" s="1" t="s">
        <v>26</v>
      </c>
    </row>
    <row r="185" spans="1:18" x14ac:dyDescent="0.25">
      <c r="A185" s="1" t="s">
        <v>605</v>
      </c>
      <c r="B185" s="2">
        <v>45464</v>
      </c>
      <c r="C185" s="1" t="s">
        <v>19</v>
      </c>
      <c r="D185" s="1" t="s">
        <v>166</v>
      </c>
      <c r="E185" s="1" t="s">
        <v>120</v>
      </c>
      <c r="F185" s="1" t="s">
        <v>54</v>
      </c>
      <c r="G185" s="1" t="s">
        <v>102</v>
      </c>
      <c r="H185">
        <v>45</v>
      </c>
      <c r="I185" s="4">
        <v>2169.61</v>
      </c>
      <c r="J185" s="4">
        <v>97632.45</v>
      </c>
      <c r="K185" s="6">
        <v>10</v>
      </c>
      <c r="L185" s="4">
        <v>87869.21</v>
      </c>
      <c r="M185" s="4">
        <v>49041.2</v>
      </c>
      <c r="N185" s="4">
        <v>38828.01</v>
      </c>
      <c r="O185" s="6">
        <v>44.19</v>
      </c>
      <c r="P185" s="1" t="s">
        <v>49</v>
      </c>
      <c r="Q185" s="1" t="s">
        <v>63</v>
      </c>
      <c r="R185" s="1" t="s">
        <v>26</v>
      </c>
    </row>
    <row r="186" spans="1:18" x14ac:dyDescent="0.25">
      <c r="A186" s="1" t="s">
        <v>615</v>
      </c>
      <c r="B186" s="2">
        <v>45275</v>
      </c>
      <c r="C186" s="1" t="s">
        <v>19</v>
      </c>
      <c r="D186" s="1" t="s">
        <v>159</v>
      </c>
      <c r="E186" s="1" t="s">
        <v>28</v>
      </c>
      <c r="F186" s="1" t="s">
        <v>60</v>
      </c>
      <c r="G186" s="1" t="s">
        <v>184</v>
      </c>
      <c r="H186">
        <v>2</v>
      </c>
      <c r="I186" s="4">
        <v>48102.3</v>
      </c>
      <c r="J186" s="4">
        <v>96204.6</v>
      </c>
      <c r="K186" s="6">
        <v>20</v>
      </c>
      <c r="L186" s="4">
        <v>76963.679999999993</v>
      </c>
      <c r="M186" s="4">
        <v>34342.99</v>
      </c>
      <c r="N186" s="4">
        <v>42620.69</v>
      </c>
      <c r="O186" s="6">
        <v>55.38</v>
      </c>
      <c r="P186" s="1" t="s">
        <v>62</v>
      </c>
      <c r="Q186" s="1" t="s">
        <v>63</v>
      </c>
      <c r="R186" s="1" t="s">
        <v>26</v>
      </c>
    </row>
    <row r="187" spans="1:18" x14ac:dyDescent="0.25">
      <c r="A187" s="1" t="s">
        <v>208</v>
      </c>
      <c r="B187" s="2">
        <v>45378</v>
      </c>
      <c r="C187" s="1" t="s">
        <v>51</v>
      </c>
      <c r="D187" s="1" t="s">
        <v>91</v>
      </c>
      <c r="E187" s="1" t="s">
        <v>112</v>
      </c>
      <c r="F187" s="1" t="s">
        <v>47</v>
      </c>
      <c r="G187" s="1" t="s">
        <v>127</v>
      </c>
      <c r="H187">
        <v>7</v>
      </c>
      <c r="I187" s="4">
        <v>13584.86</v>
      </c>
      <c r="J187" s="4">
        <v>95094.02</v>
      </c>
      <c r="K187" s="6">
        <v>25</v>
      </c>
      <c r="L187" s="4">
        <v>71320.509999999995</v>
      </c>
      <c r="M187" s="4">
        <v>29371.7</v>
      </c>
      <c r="N187" s="4">
        <v>41948.81</v>
      </c>
      <c r="O187" s="6">
        <v>58.82</v>
      </c>
      <c r="P187" s="1" t="s">
        <v>24</v>
      </c>
      <c r="Q187" s="1" t="s">
        <v>25</v>
      </c>
      <c r="R187" s="1" t="s">
        <v>26</v>
      </c>
    </row>
    <row r="188" spans="1:18" x14ac:dyDescent="0.25">
      <c r="A188" s="1" t="s">
        <v>356</v>
      </c>
      <c r="B188" s="2">
        <v>45324</v>
      </c>
      <c r="C188" s="1" t="s">
        <v>51</v>
      </c>
      <c r="D188" s="1" t="s">
        <v>84</v>
      </c>
      <c r="E188" s="1" t="s">
        <v>139</v>
      </c>
      <c r="F188" s="1" t="s">
        <v>60</v>
      </c>
      <c r="G188" s="1" t="s">
        <v>61</v>
      </c>
      <c r="H188">
        <v>8</v>
      </c>
      <c r="I188" s="4">
        <v>11636.24</v>
      </c>
      <c r="J188" s="4">
        <v>93089.919999999998</v>
      </c>
      <c r="K188" s="6">
        <v>25</v>
      </c>
      <c r="L188" s="4">
        <v>69817.440000000002</v>
      </c>
      <c r="M188" s="4">
        <v>30887.759999999998</v>
      </c>
      <c r="N188" s="4">
        <v>38929.68</v>
      </c>
      <c r="O188" s="6">
        <v>55.76</v>
      </c>
      <c r="P188" s="1" t="s">
        <v>62</v>
      </c>
      <c r="Q188" s="1" t="s">
        <v>25</v>
      </c>
      <c r="R188" s="1" t="s">
        <v>26</v>
      </c>
    </row>
    <row r="189" spans="1:18" x14ac:dyDescent="0.25">
      <c r="A189" s="1" t="s">
        <v>336</v>
      </c>
      <c r="B189" s="2">
        <v>45316</v>
      </c>
      <c r="C189" s="1" t="s">
        <v>58</v>
      </c>
      <c r="D189" s="1" t="s">
        <v>79</v>
      </c>
      <c r="E189" s="1" t="s">
        <v>42</v>
      </c>
      <c r="F189" s="1" t="s">
        <v>81</v>
      </c>
      <c r="G189" s="1" t="s">
        <v>186</v>
      </c>
      <c r="H189">
        <v>16</v>
      </c>
      <c r="I189" s="4">
        <v>5762.25</v>
      </c>
      <c r="J189" s="4">
        <v>92196</v>
      </c>
      <c r="K189" s="6">
        <v>0</v>
      </c>
      <c r="L189" s="4">
        <v>92196</v>
      </c>
      <c r="M189" s="4">
        <v>44290.18</v>
      </c>
      <c r="N189" s="4">
        <v>47905.82</v>
      </c>
      <c r="O189" s="6">
        <v>51.96</v>
      </c>
      <c r="P189" s="1" t="s">
        <v>49</v>
      </c>
      <c r="Q189" s="1" t="s">
        <v>63</v>
      </c>
      <c r="R189" s="1" t="s">
        <v>26</v>
      </c>
    </row>
    <row r="190" spans="1:18" x14ac:dyDescent="0.25">
      <c r="A190" s="1" t="s">
        <v>488</v>
      </c>
      <c r="B190" s="2">
        <v>45576</v>
      </c>
      <c r="C190" s="1" t="s">
        <v>19</v>
      </c>
      <c r="D190" s="1" t="s">
        <v>155</v>
      </c>
      <c r="E190" s="1" t="s">
        <v>80</v>
      </c>
      <c r="F190" s="1" t="s">
        <v>29</v>
      </c>
      <c r="G190" s="1" t="s">
        <v>30</v>
      </c>
      <c r="H190">
        <v>48</v>
      </c>
      <c r="I190" s="4">
        <v>1911.72</v>
      </c>
      <c r="J190" s="4">
        <v>91762.559999999998</v>
      </c>
      <c r="K190" s="6">
        <v>20</v>
      </c>
      <c r="L190" s="4">
        <v>73410.05</v>
      </c>
      <c r="M190" s="4">
        <v>35860.339999999997</v>
      </c>
      <c r="N190" s="4">
        <v>37549.71</v>
      </c>
      <c r="O190" s="6">
        <v>51.15</v>
      </c>
      <c r="P190" s="1" t="s">
        <v>49</v>
      </c>
      <c r="Q190" s="1" t="s">
        <v>38</v>
      </c>
      <c r="R190" s="1" t="s">
        <v>26</v>
      </c>
    </row>
    <row r="191" spans="1:18" x14ac:dyDescent="0.25">
      <c r="A191" s="1" t="s">
        <v>243</v>
      </c>
      <c r="B191" s="2">
        <v>45551</v>
      </c>
      <c r="C191" s="1" t="s">
        <v>34</v>
      </c>
      <c r="D191" s="1" t="s">
        <v>35</v>
      </c>
      <c r="E191" s="1" t="s">
        <v>76</v>
      </c>
      <c r="F191" s="1" t="s">
        <v>81</v>
      </c>
      <c r="G191" s="1" t="s">
        <v>82</v>
      </c>
      <c r="H191">
        <v>16</v>
      </c>
      <c r="I191" s="4">
        <v>5719.45</v>
      </c>
      <c r="J191" s="4">
        <v>91511.2</v>
      </c>
      <c r="K191" s="6">
        <v>15</v>
      </c>
      <c r="L191" s="4">
        <v>77784.52</v>
      </c>
      <c r="M191" s="4">
        <v>43343.13</v>
      </c>
      <c r="N191" s="4">
        <v>34441.39</v>
      </c>
      <c r="O191" s="6">
        <v>44.28</v>
      </c>
      <c r="P191" s="1" t="s">
        <v>49</v>
      </c>
      <c r="Q191" s="1" t="s">
        <v>38</v>
      </c>
      <c r="R191" s="1" t="s">
        <v>26</v>
      </c>
    </row>
    <row r="192" spans="1:18" x14ac:dyDescent="0.25">
      <c r="A192" s="1" t="s">
        <v>519</v>
      </c>
      <c r="B192" s="2">
        <v>45194</v>
      </c>
      <c r="C192" s="1" t="s">
        <v>34</v>
      </c>
      <c r="D192" s="1" t="s">
        <v>172</v>
      </c>
      <c r="E192" s="1" t="s">
        <v>104</v>
      </c>
      <c r="F192" s="1" t="s">
        <v>47</v>
      </c>
      <c r="G192" s="1" t="s">
        <v>115</v>
      </c>
      <c r="H192">
        <v>13</v>
      </c>
      <c r="I192" s="4">
        <v>7012.22</v>
      </c>
      <c r="J192" s="4">
        <v>91158.86</v>
      </c>
      <c r="K192" s="6">
        <v>15</v>
      </c>
      <c r="L192" s="4">
        <v>77485.03</v>
      </c>
      <c r="M192" s="4">
        <v>44358.01</v>
      </c>
      <c r="N192" s="4">
        <v>33127.019999999997</v>
      </c>
      <c r="O192" s="6">
        <v>42.75</v>
      </c>
      <c r="P192" s="1" t="s">
        <v>49</v>
      </c>
      <c r="Q192" s="1" t="s">
        <v>32</v>
      </c>
      <c r="R192" s="1" t="s">
        <v>26</v>
      </c>
    </row>
    <row r="193" spans="1:18" x14ac:dyDescent="0.25">
      <c r="A193" s="1" t="s">
        <v>580</v>
      </c>
      <c r="B193" s="2">
        <v>45603</v>
      </c>
      <c r="C193" s="1" t="s">
        <v>19</v>
      </c>
      <c r="D193" s="1" t="s">
        <v>166</v>
      </c>
      <c r="E193" s="1" t="s">
        <v>76</v>
      </c>
      <c r="F193" s="1" t="s">
        <v>29</v>
      </c>
      <c r="G193" s="1" t="s">
        <v>66</v>
      </c>
      <c r="H193">
        <v>30</v>
      </c>
      <c r="I193" s="4">
        <v>3032.72</v>
      </c>
      <c r="J193" s="4">
        <v>90981.6</v>
      </c>
      <c r="K193" s="6">
        <v>0</v>
      </c>
      <c r="L193" s="4">
        <v>90981.6</v>
      </c>
      <c r="M193" s="4">
        <v>38210.39</v>
      </c>
      <c r="N193" s="4">
        <v>52771.21</v>
      </c>
      <c r="O193" s="6">
        <v>58</v>
      </c>
      <c r="P193" s="1" t="s">
        <v>44</v>
      </c>
      <c r="Q193" s="1" t="s">
        <v>63</v>
      </c>
      <c r="R193" s="1" t="s">
        <v>26</v>
      </c>
    </row>
    <row r="194" spans="1:18" x14ac:dyDescent="0.25">
      <c r="A194" s="1" t="s">
        <v>67</v>
      </c>
      <c r="B194" s="2">
        <v>45537</v>
      </c>
      <c r="C194" s="1" t="s">
        <v>19</v>
      </c>
      <c r="D194" s="1" t="s">
        <v>20</v>
      </c>
      <c r="E194" s="1" t="s">
        <v>42</v>
      </c>
      <c r="F194" s="1" t="s">
        <v>29</v>
      </c>
      <c r="G194" s="1" t="s">
        <v>68</v>
      </c>
      <c r="H194">
        <v>44</v>
      </c>
      <c r="I194" s="4">
        <v>2044.18</v>
      </c>
      <c r="J194" s="4">
        <v>89943.92</v>
      </c>
      <c r="K194" s="6">
        <v>0</v>
      </c>
      <c r="L194" s="4">
        <v>89943.92</v>
      </c>
      <c r="M194" s="4">
        <v>46359.81</v>
      </c>
      <c r="N194" s="4">
        <v>43584.11</v>
      </c>
      <c r="O194" s="6">
        <v>48.46</v>
      </c>
      <c r="P194" s="1" t="s">
        <v>62</v>
      </c>
      <c r="Q194" s="1" t="s">
        <v>25</v>
      </c>
      <c r="R194" s="1" t="s">
        <v>26</v>
      </c>
    </row>
    <row r="195" spans="1:18" x14ac:dyDescent="0.25">
      <c r="A195" s="1" t="s">
        <v>284</v>
      </c>
      <c r="B195" s="2">
        <v>45490</v>
      </c>
      <c r="C195" s="1" t="s">
        <v>58</v>
      </c>
      <c r="D195" s="1" t="s">
        <v>79</v>
      </c>
      <c r="E195" s="1" t="s">
        <v>36</v>
      </c>
      <c r="F195" s="1" t="s">
        <v>81</v>
      </c>
      <c r="G195" s="1" t="s">
        <v>110</v>
      </c>
      <c r="H195">
        <v>36</v>
      </c>
      <c r="I195" s="4">
        <v>2451.09</v>
      </c>
      <c r="J195" s="4">
        <v>88239.24</v>
      </c>
      <c r="K195" s="6">
        <v>15</v>
      </c>
      <c r="L195" s="4">
        <v>75003.350000000006</v>
      </c>
      <c r="M195" s="4">
        <v>41347.599999999999</v>
      </c>
      <c r="N195" s="4">
        <v>33655.75</v>
      </c>
      <c r="O195" s="6">
        <v>44.87</v>
      </c>
      <c r="P195" s="1" t="s">
        <v>44</v>
      </c>
      <c r="Q195" s="1" t="s">
        <v>25</v>
      </c>
      <c r="R195" s="1" t="s">
        <v>26</v>
      </c>
    </row>
    <row r="196" spans="1:18" x14ac:dyDescent="0.25">
      <c r="A196" s="1" t="s">
        <v>241</v>
      </c>
      <c r="B196" s="2">
        <v>45005</v>
      </c>
      <c r="C196" s="1" t="s">
        <v>34</v>
      </c>
      <c r="D196" s="1" t="s">
        <v>71</v>
      </c>
      <c r="E196" s="1" t="s">
        <v>85</v>
      </c>
      <c r="F196" s="1" t="s">
        <v>60</v>
      </c>
      <c r="G196" s="1" t="s">
        <v>131</v>
      </c>
      <c r="H196">
        <v>29</v>
      </c>
      <c r="I196" s="4">
        <v>3026.35</v>
      </c>
      <c r="J196" s="4">
        <v>87764.15</v>
      </c>
      <c r="K196" s="6">
        <v>10</v>
      </c>
      <c r="L196" s="4">
        <v>78987.740000000005</v>
      </c>
      <c r="M196" s="4">
        <v>51303.25</v>
      </c>
      <c r="N196" s="4">
        <v>27684.49</v>
      </c>
      <c r="O196" s="6">
        <v>35.049999999999997</v>
      </c>
      <c r="P196" s="1" t="s">
        <v>24</v>
      </c>
      <c r="Q196" s="1" t="s">
        <v>25</v>
      </c>
      <c r="R196" s="1" t="s">
        <v>26</v>
      </c>
    </row>
    <row r="197" spans="1:18" x14ac:dyDescent="0.25">
      <c r="A197" s="1" t="s">
        <v>125</v>
      </c>
      <c r="B197" s="2">
        <v>45154</v>
      </c>
      <c r="C197" s="1" t="s">
        <v>58</v>
      </c>
      <c r="D197" s="1" t="s">
        <v>126</v>
      </c>
      <c r="E197" s="1" t="s">
        <v>42</v>
      </c>
      <c r="F197" s="1" t="s">
        <v>47</v>
      </c>
      <c r="G197" s="1" t="s">
        <v>127</v>
      </c>
      <c r="H197">
        <v>45</v>
      </c>
      <c r="I197" s="4">
        <v>1933.6</v>
      </c>
      <c r="J197" s="4">
        <v>87012</v>
      </c>
      <c r="K197" s="6">
        <v>0</v>
      </c>
      <c r="L197" s="4">
        <v>87012</v>
      </c>
      <c r="M197" s="4">
        <v>57217.17</v>
      </c>
      <c r="N197" s="4">
        <v>29794.83</v>
      </c>
      <c r="O197" s="6">
        <v>34.24</v>
      </c>
      <c r="P197" s="1" t="s">
        <v>49</v>
      </c>
      <c r="Q197" s="1" t="s">
        <v>32</v>
      </c>
      <c r="R197" s="1" t="s">
        <v>26</v>
      </c>
    </row>
    <row r="198" spans="1:18" x14ac:dyDescent="0.25">
      <c r="A198" s="1" t="s">
        <v>389</v>
      </c>
      <c r="B198" s="2">
        <v>45178</v>
      </c>
      <c r="C198" s="1" t="s">
        <v>58</v>
      </c>
      <c r="D198" s="1" t="s">
        <v>59</v>
      </c>
      <c r="E198" s="1" t="s">
        <v>42</v>
      </c>
      <c r="F198" s="1" t="s">
        <v>81</v>
      </c>
      <c r="G198" s="1" t="s">
        <v>92</v>
      </c>
      <c r="H198">
        <v>50</v>
      </c>
      <c r="I198" s="4">
        <v>1724.29</v>
      </c>
      <c r="J198" s="4">
        <v>86214.5</v>
      </c>
      <c r="K198" s="6">
        <v>20</v>
      </c>
      <c r="L198" s="4">
        <v>68971.600000000006</v>
      </c>
      <c r="M198" s="4">
        <v>43324.14</v>
      </c>
      <c r="N198" s="4">
        <v>25647.46</v>
      </c>
      <c r="O198" s="6">
        <v>37.19</v>
      </c>
      <c r="P198" s="1" t="s">
        <v>49</v>
      </c>
      <c r="Q198" s="1" t="s">
        <v>56</v>
      </c>
      <c r="R198" s="1" t="s">
        <v>26</v>
      </c>
    </row>
    <row r="199" spans="1:18" x14ac:dyDescent="0.25">
      <c r="A199" s="1" t="s">
        <v>214</v>
      </c>
      <c r="B199" s="2">
        <v>45085</v>
      </c>
      <c r="C199" s="1" t="s">
        <v>51</v>
      </c>
      <c r="D199" s="1" t="s">
        <v>52</v>
      </c>
      <c r="E199" s="1" t="s">
        <v>112</v>
      </c>
      <c r="F199" s="1" t="s">
        <v>54</v>
      </c>
      <c r="G199" s="1" t="s">
        <v>86</v>
      </c>
      <c r="H199">
        <v>48</v>
      </c>
      <c r="I199" s="4">
        <v>1786.74</v>
      </c>
      <c r="J199" s="4">
        <v>85763.520000000004</v>
      </c>
      <c r="K199" s="6">
        <v>20</v>
      </c>
      <c r="L199" s="4">
        <v>68610.820000000007</v>
      </c>
      <c r="M199" s="4">
        <v>36071.32</v>
      </c>
      <c r="N199" s="4">
        <v>32539.5</v>
      </c>
      <c r="O199" s="6">
        <v>47.43</v>
      </c>
      <c r="P199" s="1" t="s">
        <v>62</v>
      </c>
      <c r="Q199" s="1" t="s">
        <v>63</v>
      </c>
      <c r="R199" s="1" t="s">
        <v>26</v>
      </c>
    </row>
    <row r="200" spans="1:18" x14ac:dyDescent="0.25">
      <c r="A200" s="1" t="s">
        <v>282</v>
      </c>
      <c r="B200" s="2">
        <v>45173</v>
      </c>
      <c r="C200" s="1" t="s">
        <v>58</v>
      </c>
      <c r="D200" s="1" t="s">
        <v>150</v>
      </c>
      <c r="E200" s="1" t="s">
        <v>76</v>
      </c>
      <c r="F200" s="1" t="s">
        <v>47</v>
      </c>
      <c r="G200" s="1" t="s">
        <v>77</v>
      </c>
      <c r="H200">
        <v>6</v>
      </c>
      <c r="I200" s="4">
        <v>14197.66</v>
      </c>
      <c r="J200" s="4">
        <v>85185.96</v>
      </c>
      <c r="K200" s="6">
        <v>20</v>
      </c>
      <c r="L200" s="4">
        <v>68148.77</v>
      </c>
      <c r="M200" s="4">
        <v>36607.42</v>
      </c>
      <c r="N200" s="4">
        <v>31541.35</v>
      </c>
      <c r="O200" s="6">
        <v>46.28</v>
      </c>
      <c r="P200" s="1" t="s">
        <v>49</v>
      </c>
      <c r="Q200" s="1" t="s">
        <v>25</v>
      </c>
      <c r="R200" s="1" t="s">
        <v>26</v>
      </c>
    </row>
    <row r="201" spans="1:18" x14ac:dyDescent="0.25">
      <c r="A201" s="1" t="s">
        <v>431</v>
      </c>
      <c r="B201" s="2">
        <v>45285</v>
      </c>
      <c r="C201" s="1" t="s">
        <v>19</v>
      </c>
      <c r="D201" s="1" t="s">
        <v>20</v>
      </c>
      <c r="E201" s="1" t="s">
        <v>85</v>
      </c>
      <c r="F201" s="1" t="s">
        <v>29</v>
      </c>
      <c r="G201" s="1" t="s">
        <v>322</v>
      </c>
      <c r="H201">
        <v>39</v>
      </c>
      <c r="I201" s="4">
        <v>2145.94</v>
      </c>
      <c r="J201" s="4">
        <v>83691.66</v>
      </c>
      <c r="K201" s="6">
        <v>15</v>
      </c>
      <c r="L201" s="4">
        <v>71137.91</v>
      </c>
      <c r="M201" s="4">
        <v>40979.99</v>
      </c>
      <c r="N201" s="4">
        <v>30157.919999999998</v>
      </c>
      <c r="O201" s="6">
        <v>42.39</v>
      </c>
      <c r="P201" s="1" t="s">
        <v>44</v>
      </c>
      <c r="Q201" s="1" t="s">
        <v>106</v>
      </c>
      <c r="R201" s="1" t="s">
        <v>26</v>
      </c>
    </row>
    <row r="202" spans="1:18" x14ac:dyDescent="0.25">
      <c r="A202" s="1" t="s">
        <v>366</v>
      </c>
      <c r="B202" s="2">
        <v>45211</v>
      </c>
      <c r="C202" s="1" t="s">
        <v>34</v>
      </c>
      <c r="D202" s="1" t="s">
        <v>133</v>
      </c>
      <c r="E202" s="1" t="s">
        <v>120</v>
      </c>
      <c r="F202" s="1" t="s">
        <v>54</v>
      </c>
      <c r="G202" s="1" t="s">
        <v>99</v>
      </c>
      <c r="H202">
        <v>41</v>
      </c>
      <c r="I202" s="4">
        <v>2017.31</v>
      </c>
      <c r="J202" s="4">
        <v>82709.710000000006</v>
      </c>
      <c r="K202" s="6">
        <v>0</v>
      </c>
      <c r="L202" s="4">
        <v>82709.710000000006</v>
      </c>
      <c r="M202" s="4">
        <v>43079.79</v>
      </c>
      <c r="N202" s="4">
        <v>39629.919999999998</v>
      </c>
      <c r="O202" s="6">
        <v>47.91</v>
      </c>
      <c r="P202" s="1" t="s">
        <v>44</v>
      </c>
      <c r="Q202" s="1" t="s">
        <v>32</v>
      </c>
      <c r="R202" s="1" t="s">
        <v>26</v>
      </c>
    </row>
    <row r="203" spans="1:18" x14ac:dyDescent="0.25">
      <c r="A203" s="1" t="s">
        <v>442</v>
      </c>
      <c r="B203" s="2">
        <v>45081</v>
      </c>
      <c r="C203" s="1" t="s">
        <v>19</v>
      </c>
      <c r="D203" s="1" t="s">
        <v>155</v>
      </c>
      <c r="E203" s="1" t="s">
        <v>72</v>
      </c>
      <c r="F203" s="1" t="s">
        <v>29</v>
      </c>
      <c r="G203" s="1" t="s">
        <v>73</v>
      </c>
      <c r="H203">
        <v>44</v>
      </c>
      <c r="I203" s="4">
        <v>1872.09</v>
      </c>
      <c r="J203" s="4">
        <v>82371.960000000006</v>
      </c>
      <c r="K203" s="6">
        <v>10</v>
      </c>
      <c r="L203" s="4">
        <v>74134.759999999995</v>
      </c>
      <c r="M203" s="4">
        <v>38841.589999999997</v>
      </c>
      <c r="N203" s="4">
        <v>35293.17</v>
      </c>
      <c r="O203" s="6">
        <v>47.61</v>
      </c>
      <c r="P203" s="1" t="s">
        <v>49</v>
      </c>
      <c r="Q203" s="1" t="s">
        <v>106</v>
      </c>
      <c r="R203" s="1" t="s">
        <v>26</v>
      </c>
    </row>
    <row r="204" spans="1:18" x14ac:dyDescent="0.25">
      <c r="A204" s="1" t="s">
        <v>585</v>
      </c>
      <c r="B204" s="2">
        <v>45061</v>
      </c>
      <c r="C204" s="1" t="s">
        <v>51</v>
      </c>
      <c r="D204" s="1" t="s">
        <v>52</v>
      </c>
      <c r="E204" s="1" t="s">
        <v>129</v>
      </c>
      <c r="F204" s="1" t="s">
        <v>29</v>
      </c>
      <c r="G204" s="1" t="s">
        <v>68</v>
      </c>
      <c r="H204">
        <v>20</v>
      </c>
      <c r="I204" s="4">
        <v>4116.38</v>
      </c>
      <c r="J204" s="4">
        <v>82327.600000000006</v>
      </c>
      <c r="K204" s="6">
        <v>10</v>
      </c>
      <c r="L204" s="4">
        <v>74094.84</v>
      </c>
      <c r="M204" s="4">
        <v>39622.269999999997</v>
      </c>
      <c r="N204" s="4">
        <v>34472.57</v>
      </c>
      <c r="O204" s="6">
        <v>46.52</v>
      </c>
      <c r="P204" s="1" t="s">
        <v>49</v>
      </c>
      <c r="Q204" s="1" t="s">
        <v>63</v>
      </c>
      <c r="R204" s="1" t="s">
        <v>26</v>
      </c>
    </row>
    <row r="205" spans="1:18" x14ac:dyDescent="0.25">
      <c r="A205" s="1" t="s">
        <v>540</v>
      </c>
      <c r="B205" s="2">
        <v>45641</v>
      </c>
      <c r="C205" s="1" t="s">
        <v>34</v>
      </c>
      <c r="D205" s="1" t="s">
        <v>172</v>
      </c>
      <c r="E205" s="1" t="s">
        <v>72</v>
      </c>
      <c r="F205" s="1" t="s">
        <v>54</v>
      </c>
      <c r="G205" s="1" t="s">
        <v>99</v>
      </c>
      <c r="H205">
        <v>35</v>
      </c>
      <c r="I205" s="4">
        <v>2346.92</v>
      </c>
      <c r="J205" s="4">
        <v>82142.2</v>
      </c>
      <c r="K205" s="6">
        <v>20</v>
      </c>
      <c r="L205" s="4">
        <v>65713.759999999995</v>
      </c>
      <c r="M205" s="4">
        <v>35055.230000000003</v>
      </c>
      <c r="N205" s="4">
        <v>30658.53</v>
      </c>
      <c r="O205" s="6">
        <v>46.65</v>
      </c>
      <c r="P205" s="1" t="s">
        <v>31</v>
      </c>
      <c r="Q205" s="1" t="s">
        <v>106</v>
      </c>
      <c r="R205" s="1" t="s">
        <v>26</v>
      </c>
    </row>
    <row r="206" spans="1:18" x14ac:dyDescent="0.25">
      <c r="A206" s="1" t="s">
        <v>515</v>
      </c>
      <c r="B206" s="2">
        <v>45306</v>
      </c>
      <c r="C206" s="1" t="s">
        <v>19</v>
      </c>
      <c r="D206" s="1" t="s">
        <v>20</v>
      </c>
      <c r="E206" s="1" t="s">
        <v>53</v>
      </c>
      <c r="F206" s="1" t="s">
        <v>29</v>
      </c>
      <c r="G206" s="1" t="s">
        <v>157</v>
      </c>
      <c r="H206">
        <v>39</v>
      </c>
      <c r="I206" s="4">
        <v>2100.35</v>
      </c>
      <c r="J206" s="4">
        <v>81913.649999999994</v>
      </c>
      <c r="K206" s="6">
        <v>0</v>
      </c>
      <c r="L206" s="4">
        <v>81913.649999999994</v>
      </c>
      <c r="M206" s="4">
        <v>39230.71</v>
      </c>
      <c r="N206" s="4">
        <v>42682.94</v>
      </c>
      <c r="O206" s="6">
        <v>52.11</v>
      </c>
      <c r="P206" s="1" t="s">
        <v>24</v>
      </c>
      <c r="Q206" s="1" t="s">
        <v>25</v>
      </c>
      <c r="R206" s="1" t="s">
        <v>180</v>
      </c>
    </row>
    <row r="207" spans="1:18" x14ac:dyDescent="0.25">
      <c r="A207" s="1" t="s">
        <v>294</v>
      </c>
      <c r="B207" s="2">
        <v>45379</v>
      </c>
      <c r="C207" s="1" t="s">
        <v>58</v>
      </c>
      <c r="D207" s="1" t="s">
        <v>59</v>
      </c>
      <c r="E207" s="1" t="s">
        <v>76</v>
      </c>
      <c r="F207" s="1" t="s">
        <v>29</v>
      </c>
      <c r="G207" s="1" t="s">
        <v>66</v>
      </c>
      <c r="H207">
        <v>19</v>
      </c>
      <c r="I207" s="4">
        <v>4310.08</v>
      </c>
      <c r="J207" s="4">
        <v>81891.520000000004</v>
      </c>
      <c r="K207" s="6">
        <v>0</v>
      </c>
      <c r="L207" s="4">
        <v>81891.520000000004</v>
      </c>
      <c r="M207" s="4">
        <v>41265.879999999997</v>
      </c>
      <c r="N207" s="4">
        <v>40625.64</v>
      </c>
      <c r="O207" s="6">
        <v>49.61</v>
      </c>
      <c r="P207" s="1" t="s">
        <v>44</v>
      </c>
      <c r="Q207" s="1" t="s">
        <v>63</v>
      </c>
      <c r="R207" s="1" t="s">
        <v>26</v>
      </c>
    </row>
    <row r="208" spans="1:18" x14ac:dyDescent="0.25">
      <c r="A208" s="1" t="s">
        <v>514</v>
      </c>
      <c r="B208" s="2">
        <v>45650</v>
      </c>
      <c r="C208" s="1" t="s">
        <v>51</v>
      </c>
      <c r="D208" s="1" t="s">
        <v>88</v>
      </c>
      <c r="E208" s="1" t="s">
        <v>42</v>
      </c>
      <c r="F208" s="1" t="s">
        <v>29</v>
      </c>
      <c r="G208" s="1" t="s">
        <v>37</v>
      </c>
      <c r="H208">
        <v>22</v>
      </c>
      <c r="I208" s="4">
        <v>3653.63</v>
      </c>
      <c r="J208" s="4">
        <v>80379.86</v>
      </c>
      <c r="K208" s="6">
        <v>20</v>
      </c>
      <c r="L208" s="4">
        <v>64303.89</v>
      </c>
      <c r="M208" s="4">
        <v>39168.61</v>
      </c>
      <c r="N208" s="4">
        <v>25135.279999999999</v>
      </c>
      <c r="O208" s="6">
        <v>39.090000000000003</v>
      </c>
      <c r="P208" s="1" t="s">
        <v>24</v>
      </c>
      <c r="Q208" s="1" t="s">
        <v>106</v>
      </c>
      <c r="R208" s="1" t="s">
        <v>26</v>
      </c>
    </row>
    <row r="209" spans="1:18" x14ac:dyDescent="0.25">
      <c r="A209" s="1" t="s">
        <v>209</v>
      </c>
      <c r="B209" s="2">
        <v>45301</v>
      </c>
      <c r="C209" s="1" t="s">
        <v>51</v>
      </c>
      <c r="D209" s="1" t="s">
        <v>88</v>
      </c>
      <c r="E209" s="1" t="s">
        <v>65</v>
      </c>
      <c r="F209" s="1" t="s">
        <v>47</v>
      </c>
      <c r="G209" s="1" t="s">
        <v>48</v>
      </c>
      <c r="H209">
        <v>27</v>
      </c>
      <c r="I209" s="4">
        <v>2923.13</v>
      </c>
      <c r="J209" s="4">
        <v>78924.509999999995</v>
      </c>
      <c r="K209" s="6">
        <v>5</v>
      </c>
      <c r="L209" s="4">
        <v>74978.28</v>
      </c>
      <c r="M209" s="4">
        <v>47682.73</v>
      </c>
      <c r="N209" s="4">
        <v>27295.55</v>
      </c>
      <c r="O209" s="6">
        <v>36.4</v>
      </c>
      <c r="P209" s="1" t="s">
        <v>31</v>
      </c>
      <c r="Q209" s="1" t="s">
        <v>25</v>
      </c>
      <c r="R209" s="1" t="s">
        <v>26</v>
      </c>
    </row>
    <row r="210" spans="1:18" x14ac:dyDescent="0.25">
      <c r="A210" s="1" t="s">
        <v>64</v>
      </c>
      <c r="B210" s="2">
        <v>45151</v>
      </c>
      <c r="C210" s="1" t="s">
        <v>34</v>
      </c>
      <c r="D210" s="1" t="s">
        <v>46</v>
      </c>
      <c r="E210" s="1" t="s">
        <v>65</v>
      </c>
      <c r="F210" s="1" t="s">
        <v>29</v>
      </c>
      <c r="G210" s="1" t="s">
        <v>66</v>
      </c>
      <c r="H210">
        <v>38</v>
      </c>
      <c r="I210" s="4">
        <v>2070.84</v>
      </c>
      <c r="J210" s="4">
        <v>78691.92</v>
      </c>
      <c r="K210" s="6">
        <v>20</v>
      </c>
      <c r="L210" s="4">
        <v>62953.54</v>
      </c>
      <c r="M210" s="4">
        <v>32724.52</v>
      </c>
      <c r="N210" s="4">
        <v>30229.02</v>
      </c>
      <c r="O210" s="6">
        <v>48.02</v>
      </c>
      <c r="P210" s="1" t="s">
        <v>49</v>
      </c>
      <c r="Q210" s="1" t="s">
        <v>25</v>
      </c>
      <c r="R210" s="1" t="s">
        <v>26</v>
      </c>
    </row>
    <row r="211" spans="1:18" x14ac:dyDescent="0.25">
      <c r="A211" s="1" t="s">
        <v>491</v>
      </c>
      <c r="B211" s="2">
        <v>45425</v>
      </c>
      <c r="C211" s="1" t="s">
        <v>58</v>
      </c>
      <c r="D211" s="1" t="s">
        <v>119</v>
      </c>
      <c r="E211" s="1" t="s">
        <v>112</v>
      </c>
      <c r="F211" s="1" t="s">
        <v>60</v>
      </c>
      <c r="G211" s="1" t="s">
        <v>131</v>
      </c>
      <c r="H211">
        <v>5</v>
      </c>
      <c r="I211" s="4">
        <v>15640.71</v>
      </c>
      <c r="J211" s="4">
        <v>78203.55</v>
      </c>
      <c r="K211" s="6">
        <v>5</v>
      </c>
      <c r="L211" s="4">
        <v>74293.37</v>
      </c>
      <c r="M211" s="4">
        <v>45889.29</v>
      </c>
      <c r="N211" s="4">
        <v>28404.080000000002</v>
      </c>
      <c r="O211" s="6">
        <v>38.229999999999997</v>
      </c>
      <c r="P211" s="1" t="s">
        <v>44</v>
      </c>
      <c r="Q211" s="1" t="s">
        <v>38</v>
      </c>
      <c r="R211" s="1" t="s">
        <v>26</v>
      </c>
    </row>
    <row r="212" spans="1:18" x14ac:dyDescent="0.25">
      <c r="A212" s="1" t="s">
        <v>579</v>
      </c>
      <c r="B212" s="2">
        <v>45606</v>
      </c>
      <c r="C212" s="1" t="s">
        <v>34</v>
      </c>
      <c r="D212" s="1" t="s">
        <v>71</v>
      </c>
      <c r="E212" s="1" t="s">
        <v>65</v>
      </c>
      <c r="F212" s="1" t="s">
        <v>54</v>
      </c>
      <c r="G212" s="1" t="s">
        <v>102</v>
      </c>
      <c r="H212">
        <v>45</v>
      </c>
      <c r="I212" s="4">
        <v>1720.41</v>
      </c>
      <c r="J212" s="4">
        <v>77418.45</v>
      </c>
      <c r="K212" s="6">
        <v>15</v>
      </c>
      <c r="L212" s="4">
        <v>65805.679999999993</v>
      </c>
      <c r="M212" s="4">
        <v>37831.78</v>
      </c>
      <c r="N212" s="4">
        <v>27973.9</v>
      </c>
      <c r="O212" s="6">
        <v>42.51</v>
      </c>
      <c r="P212" s="1" t="s">
        <v>31</v>
      </c>
      <c r="Q212" s="1" t="s">
        <v>56</v>
      </c>
      <c r="R212" s="1" t="s">
        <v>26</v>
      </c>
    </row>
    <row r="213" spans="1:18" x14ac:dyDescent="0.25">
      <c r="A213" s="1" t="s">
        <v>410</v>
      </c>
      <c r="B213" s="2">
        <v>45435</v>
      </c>
      <c r="C213" s="1" t="s">
        <v>19</v>
      </c>
      <c r="D213" s="1" t="s">
        <v>159</v>
      </c>
      <c r="E213" s="1" t="s">
        <v>53</v>
      </c>
      <c r="F213" s="1" t="s">
        <v>81</v>
      </c>
      <c r="G213" s="1" t="s">
        <v>163</v>
      </c>
      <c r="H213">
        <v>40</v>
      </c>
      <c r="I213" s="4">
        <v>1922.98</v>
      </c>
      <c r="J213" s="4">
        <v>76919.199999999997</v>
      </c>
      <c r="K213" s="6">
        <v>20</v>
      </c>
      <c r="L213" s="4">
        <v>61535.360000000001</v>
      </c>
      <c r="M213" s="4">
        <v>26536.080000000002</v>
      </c>
      <c r="N213" s="4">
        <v>34999.279999999999</v>
      </c>
      <c r="O213" s="6">
        <v>56.88</v>
      </c>
      <c r="P213" s="1" t="s">
        <v>49</v>
      </c>
      <c r="Q213" s="1" t="s">
        <v>38</v>
      </c>
      <c r="R213" s="1" t="s">
        <v>26</v>
      </c>
    </row>
    <row r="214" spans="1:18" x14ac:dyDescent="0.25">
      <c r="A214" s="1" t="s">
        <v>623</v>
      </c>
      <c r="B214" s="2">
        <v>45156</v>
      </c>
      <c r="C214" s="1" t="s">
        <v>58</v>
      </c>
      <c r="D214" s="1" t="s">
        <v>79</v>
      </c>
      <c r="E214" s="1" t="s">
        <v>112</v>
      </c>
      <c r="F214" s="1" t="s">
        <v>54</v>
      </c>
      <c r="G214" s="1" t="s">
        <v>55</v>
      </c>
      <c r="H214">
        <v>42</v>
      </c>
      <c r="I214" s="4">
        <v>1819.01</v>
      </c>
      <c r="J214" s="4">
        <v>76398.42</v>
      </c>
      <c r="K214" s="6">
        <v>15</v>
      </c>
      <c r="L214" s="4">
        <v>64938.66</v>
      </c>
      <c r="M214" s="4">
        <v>35142.449999999997</v>
      </c>
      <c r="N214" s="4">
        <v>29796.21</v>
      </c>
      <c r="O214" s="6">
        <v>45.88</v>
      </c>
      <c r="P214" s="1" t="s">
        <v>49</v>
      </c>
      <c r="Q214" s="1" t="s">
        <v>25</v>
      </c>
      <c r="R214" s="1" t="s">
        <v>26</v>
      </c>
    </row>
    <row r="215" spans="1:18" x14ac:dyDescent="0.25">
      <c r="A215" s="1" t="s">
        <v>412</v>
      </c>
      <c r="B215" s="2">
        <v>45356</v>
      </c>
      <c r="C215" s="1" t="s">
        <v>51</v>
      </c>
      <c r="D215" s="1" t="s">
        <v>88</v>
      </c>
      <c r="E215" s="1" t="s">
        <v>42</v>
      </c>
      <c r="F215" s="1" t="s">
        <v>47</v>
      </c>
      <c r="G215" s="1" t="s">
        <v>230</v>
      </c>
      <c r="H215">
        <v>7</v>
      </c>
      <c r="I215" s="4">
        <v>10904.06</v>
      </c>
      <c r="J215" s="4">
        <v>76328.42</v>
      </c>
      <c r="K215" s="6">
        <v>0</v>
      </c>
      <c r="L215" s="4">
        <v>76328.42</v>
      </c>
      <c r="M215" s="4">
        <v>39368.76</v>
      </c>
      <c r="N215" s="4">
        <v>36959.660000000003</v>
      </c>
      <c r="O215" s="6">
        <v>48.42</v>
      </c>
      <c r="P215" s="1" t="s">
        <v>49</v>
      </c>
      <c r="Q215" s="1" t="s">
        <v>32</v>
      </c>
      <c r="R215" s="1" t="s">
        <v>26</v>
      </c>
    </row>
    <row r="216" spans="1:18" x14ac:dyDescent="0.25">
      <c r="A216" s="1" t="s">
        <v>469</v>
      </c>
      <c r="B216" s="2">
        <v>45443</v>
      </c>
      <c r="C216" s="1" t="s">
        <v>51</v>
      </c>
      <c r="D216" s="1" t="s">
        <v>91</v>
      </c>
      <c r="E216" s="1" t="s">
        <v>120</v>
      </c>
      <c r="F216" s="1" t="s">
        <v>29</v>
      </c>
      <c r="G216" s="1" t="s">
        <v>68</v>
      </c>
      <c r="H216">
        <v>25</v>
      </c>
      <c r="I216" s="4">
        <v>3044.47</v>
      </c>
      <c r="J216" s="4">
        <v>76111.75</v>
      </c>
      <c r="K216" s="6">
        <v>20</v>
      </c>
      <c r="L216" s="4">
        <v>60889.4</v>
      </c>
      <c r="M216" s="4">
        <v>40479.81</v>
      </c>
      <c r="N216" s="4">
        <v>20409.59</v>
      </c>
      <c r="O216" s="6">
        <v>33.520000000000003</v>
      </c>
      <c r="P216" s="1" t="s">
        <v>62</v>
      </c>
      <c r="Q216" s="1" t="s">
        <v>32</v>
      </c>
      <c r="R216" s="1" t="s">
        <v>26</v>
      </c>
    </row>
    <row r="217" spans="1:18" x14ac:dyDescent="0.25">
      <c r="A217" s="1" t="s">
        <v>370</v>
      </c>
      <c r="B217" s="2">
        <v>45591</v>
      </c>
      <c r="C217" s="1" t="s">
        <v>51</v>
      </c>
      <c r="D217" s="1" t="s">
        <v>84</v>
      </c>
      <c r="E217" s="1" t="s">
        <v>120</v>
      </c>
      <c r="F217" s="1" t="s">
        <v>29</v>
      </c>
      <c r="G217" s="1" t="s">
        <v>66</v>
      </c>
      <c r="H217">
        <v>42</v>
      </c>
      <c r="I217" s="4">
        <v>1781.85</v>
      </c>
      <c r="J217" s="4">
        <v>74837.7</v>
      </c>
      <c r="K217" s="6">
        <v>0</v>
      </c>
      <c r="L217" s="4">
        <v>74837.7</v>
      </c>
      <c r="M217" s="4">
        <v>38283.46</v>
      </c>
      <c r="N217" s="4">
        <v>36554.239999999998</v>
      </c>
      <c r="O217" s="6">
        <v>48.84</v>
      </c>
      <c r="P217" s="1" t="s">
        <v>49</v>
      </c>
      <c r="Q217" s="1" t="s">
        <v>56</v>
      </c>
      <c r="R217" s="1" t="s">
        <v>26</v>
      </c>
    </row>
    <row r="218" spans="1:18" x14ac:dyDescent="0.25">
      <c r="A218" s="1" t="s">
        <v>411</v>
      </c>
      <c r="B218" s="2">
        <v>45270</v>
      </c>
      <c r="C218" s="1" t="s">
        <v>51</v>
      </c>
      <c r="D218" s="1" t="s">
        <v>84</v>
      </c>
      <c r="E218" s="1" t="s">
        <v>112</v>
      </c>
      <c r="F218" s="1" t="s">
        <v>47</v>
      </c>
      <c r="G218" s="1" t="s">
        <v>127</v>
      </c>
      <c r="H218">
        <v>6</v>
      </c>
      <c r="I218" s="4">
        <v>12387.35</v>
      </c>
      <c r="J218" s="4">
        <v>74324.100000000006</v>
      </c>
      <c r="K218" s="6">
        <v>25</v>
      </c>
      <c r="L218" s="4">
        <v>55743.08</v>
      </c>
      <c r="M218" s="4">
        <v>32984.9</v>
      </c>
      <c r="N218" s="4">
        <v>22758.18</v>
      </c>
      <c r="O218" s="6">
        <v>40.83</v>
      </c>
      <c r="P218" s="1" t="s">
        <v>62</v>
      </c>
      <c r="Q218" s="1" t="s">
        <v>56</v>
      </c>
      <c r="R218" s="1" t="s">
        <v>26</v>
      </c>
    </row>
    <row r="219" spans="1:18" x14ac:dyDescent="0.25">
      <c r="A219" s="1" t="s">
        <v>114</v>
      </c>
      <c r="B219" s="2">
        <v>45444</v>
      </c>
      <c r="C219" s="1" t="s">
        <v>51</v>
      </c>
      <c r="D219" s="1" t="s">
        <v>84</v>
      </c>
      <c r="E219" s="1" t="s">
        <v>65</v>
      </c>
      <c r="F219" s="1" t="s">
        <v>47</v>
      </c>
      <c r="G219" s="1" t="s">
        <v>115</v>
      </c>
      <c r="H219">
        <v>22</v>
      </c>
      <c r="I219" s="4">
        <v>3332.7</v>
      </c>
      <c r="J219" s="4">
        <v>73319.399999999994</v>
      </c>
      <c r="K219" s="6">
        <v>25</v>
      </c>
      <c r="L219" s="4">
        <v>54989.55</v>
      </c>
      <c r="M219" s="4">
        <v>36066.21</v>
      </c>
      <c r="N219" s="4">
        <v>18923.34</v>
      </c>
      <c r="O219" s="6">
        <v>34.409999999999997</v>
      </c>
      <c r="P219" s="1" t="s">
        <v>62</v>
      </c>
      <c r="Q219" s="1" t="s">
        <v>38</v>
      </c>
      <c r="R219" s="1" t="s">
        <v>26</v>
      </c>
    </row>
    <row r="220" spans="1:18" x14ac:dyDescent="0.25">
      <c r="A220" s="1" t="s">
        <v>532</v>
      </c>
      <c r="B220" s="2">
        <v>45187</v>
      </c>
      <c r="C220" s="1" t="s">
        <v>58</v>
      </c>
      <c r="D220" s="1" t="s">
        <v>59</v>
      </c>
      <c r="E220" s="1" t="s">
        <v>129</v>
      </c>
      <c r="F220" s="1" t="s">
        <v>47</v>
      </c>
      <c r="G220" s="1" t="s">
        <v>202</v>
      </c>
      <c r="H220">
        <v>7</v>
      </c>
      <c r="I220" s="4">
        <v>10466.459999999999</v>
      </c>
      <c r="J220" s="4">
        <v>73265.22</v>
      </c>
      <c r="K220" s="6">
        <v>0</v>
      </c>
      <c r="L220" s="4">
        <v>73265.22</v>
      </c>
      <c r="M220" s="4">
        <v>34041.97</v>
      </c>
      <c r="N220" s="4">
        <v>39223.25</v>
      </c>
      <c r="O220" s="6">
        <v>53.54</v>
      </c>
      <c r="P220" s="1" t="s">
        <v>62</v>
      </c>
      <c r="Q220" s="1" t="s">
        <v>63</v>
      </c>
      <c r="R220" s="1" t="s">
        <v>26</v>
      </c>
    </row>
    <row r="221" spans="1:18" x14ac:dyDescent="0.25">
      <c r="A221" s="1" t="s">
        <v>602</v>
      </c>
      <c r="B221" s="2">
        <v>45610</v>
      </c>
      <c r="C221" s="1" t="s">
        <v>51</v>
      </c>
      <c r="D221" s="1" t="s">
        <v>88</v>
      </c>
      <c r="E221" s="1" t="s">
        <v>76</v>
      </c>
      <c r="F221" s="1" t="s">
        <v>29</v>
      </c>
      <c r="G221" s="1" t="s">
        <v>68</v>
      </c>
      <c r="H221">
        <v>42</v>
      </c>
      <c r="I221" s="4">
        <v>1733.33</v>
      </c>
      <c r="J221" s="4">
        <v>72799.86</v>
      </c>
      <c r="K221" s="6">
        <v>5</v>
      </c>
      <c r="L221" s="4">
        <v>69159.87</v>
      </c>
      <c r="M221" s="4">
        <v>45379.16</v>
      </c>
      <c r="N221" s="4">
        <v>23780.71</v>
      </c>
      <c r="O221" s="6">
        <v>34.39</v>
      </c>
      <c r="P221" s="1" t="s">
        <v>31</v>
      </c>
      <c r="Q221" s="1" t="s">
        <v>25</v>
      </c>
      <c r="R221" s="1" t="s">
        <v>26</v>
      </c>
    </row>
    <row r="222" spans="1:18" x14ac:dyDescent="0.25">
      <c r="A222" s="1" t="s">
        <v>424</v>
      </c>
      <c r="B222" s="2">
        <v>45042</v>
      </c>
      <c r="C222" s="1" t="s">
        <v>34</v>
      </c>
      <c r="D222" s="1" t="s">
        <v>71</v>
      </c>
      <c r="E222" s="1" t="s">
        <v>42</v>
      </c>
      <c r="F222" s="1" t="s">
        <v>54</v>
      </c>
      <c r="G222" s="1" t="s">
        <v>235</v>
      </c>
      <c r="H222">
        <v>45</v>
      </c>
      <c r="I222" s="4">
        <v>1614.19</v>
      </c>
      <c r="J222" s="4">
        <v>72638.55</v>
      </c>
      <c r="K222" s="6">
        <v>20</v>
      </c>
      <c r="L222" s="4">
        <v>58110.84</v>
      </c>
      <c r="M222" s="4">
        <v>36871.660000000003</v>
      </c>
      <c r="N222" s="4">
        <v>21239.18</v>
      </c>
      <c r="O222" s="6">
        <v>36.549999999999997</v>
      </c>
      <c r="P222" s="1" t="s">
        <v>62</v>
      </c>
      <c r="Q222" s="1" t="s">
        <v>106</v>
      </c>
      <c r="R222" s="1" t="s">
        <v>26</v>
      </c>
    </row>
    <row r="223" spans="1:18" x14ac:dyDescent="0.25">
      <c r="A223" s="1" t="s">
        <v>316</v>
      </c>
      <c r="B223" s="2">
        <v>45353</v>
      </c>
      <c r="C223" s="1" t="s">
        <v>58</v>
      </c>
      <c r="D223" s="1" t="s">
        <v>119</v>
      </c>
      <c r="E223" s="1" t="s">
        <v>36</v>
      </c>
      <c r="F223" s="1" t="s">
        <v>54</v>
      </c>
      <c r="G223" s="1" t="s">
        <v>235</v>
      </c>
      <c r="H223">
        <v>42</v>
      </c>
      <c r="I223" s="4">
        <v>1727.65</v>
      </c>
      <c r="J223" s="4">
        <v>72561.3</v>
      </c>
      <c r="K223" s="6">
        <v>20</v>
      </c>
      <c r="L223" s="4">
        <v>58049.04</v>
      </c>
      <c r="M223" s="4">
        <v>28770.28</v>
      </c>
      <c r="N223" s="4">
        <v>29278.76</v>
      </c>
      <c r="O223" s="6">
        <v>50.44</v>
      </c>
      <c r="P223" s="1" t="s">
        <v>62</v>
      </c>
      <c r="Q223" s="1" t="s">
        <v>106</v>
      </c>
      <c r="R223" s="1" t="s">
        <v>26</v>
      </c>
    </row>
    <row r="224" spans="1:18" x14ac:dyDescent="0.25">
      <c r="A224" s="1" t="s">
        <v>50</v>
      </c>
      <c r="B224" s="2">
        <v>44984</v>
      </c>
      <c r="C224" s="1" t="s">
        <v>51</v>
      </c>
      <c r="D224" s="1" t="s">
        <v>52</v>
      </c>
      <c r="E224" s="1" t="s">
        <v>53</v>
      </c>
      <c r="F224" s="1" t="s">
        <v>54</v>
      </c>
      <c r="G224" s="1" t="s">
        <v>55</v>
      </c>
      <c r="H224">
        <v>41</v>
      </c>
      <c r="I224" s="4">
        <v>1767.18</v>
      </c>
      <c r="J224" s="4">
        <v>72454.38</v>
      </c>
      <c r="K224" s="6">
        <v>5</v>
      </c>
      <c r="L224" s="4">
        <v>68831.66</v>
      </c>
      <c r="M224" s="4">
        <v>41669.599999999999</v>
      </c>
      <c r="N224" s="4">
        <v>27162.06</v>
      </c>
      <c r="O224" s="6">
        <v>39.46</v>
      </c>
      <c r="P224" s="1" t="s">
        <v>49</v>
      </c>
      <c r="Q224" s="1" t="s">
        <v>56</v>
      </c>
      <c r="R224" s="1" t="s">
        <v>26</v>
      </c>
    </row>
    <row r="225" spans="1:18" x14ac:dyDescent="0.25">
      <c r="A225" s="1" t="s">
        <v>274</v>
      </c>
      <c r="B225" s="2">
        <v>45059</v>
      </c>
      <c r="C225" s="1" t="s">
        <v>19</v>
      </c>
      <c r="D225" s="1" t="s">
        <v>155</v>
      </c>
      <c r="E225" s="1" t="s">
        <v>80</v>
      </c>
      <c r="F225" s="1" t="s">
        <v>54</v>
      </c>
      <c r="G225" s="1" t="s">
        <v>86</v>
      </c>
      <c r="H225">
        <v>50</v>
      </c>
      <c r="I225" s="4">
        <v>1445.56</v>
      </c>
      <c r="J225" s="4">
        <v>72278</v>
      </c>
      <c r="K225" s="6">
        <v>20</v>
      </c>
      <c r="L225" s="4">
        <v>57822.400000000001</v>
      </c>
      <c r="M225" s="4">
        <v>26285.42</v>
      </c>
      <c r="N225" s="4">
        <v>31536.98</v>
      </c>
      <c r="O225" s="6">
        <v>54.54</v>
      </c>
      <c r="P225" s="1" t="s">
        <v>62</v>
      </c>
      <c r="Q225" s="1" t="s">
        <v>25</v>
      </c>
      <c r="R225" s="1" t="s">
        <v>26</v>
      </c>
    </row>
    <row r="226" spans="1:18" x14ac:dyDescent="0.25">
      <c r="A226" s="1" t="s">
        <v>141</v>
      </c>
      <c r="B226" s="2">
        <v>45001</v>
      </c>
      <c r="C226" s="1" t="s">
        <v>51</v>
      </c>
      <c r="D226" s="1" t="s">
        <v>98</v>
      </c>
      <c r="E226" s="1" t="s">
        <v>76</v>
      </c>
      <c r="F226" s="1" t="s">
        <v>29</v>
      </c>
      <c r="G226" s="1" t="s">
        <v>142</v>
      </c>
      <c r="H226">
        <v>16</v>
      </c>
      <c r="I226" s="4">
        <v>4431.7299999999996</v>
      </c>
      <c r="J226" s="4">
        <v>70907.679999999993</v>
      </c>
      <c r="K226" s="6">
        <v>20</v>
      </c>
      <c r="L226" s="4">
        <v>56726.14</v>
      </c>
      <c r="M226" s="4">
        <v>37151.160000000003</v>
      </c>
      <c r="N226" s="4">
        <v>19574.98</v>
      </c>
      <c r="O226" s="6">
        <v>34.51</v>
      </c>
      <c r="P226" s="1" t="s">
        <v>62</v>
      </c>
      <c r="Q226" s="1" t="s">
        <v>32</v>
      </c>
      <c r="R226" s="1" t="s">
        <v>26</v>
      </c>
    </row>
    <row r="227" spans="1:18" x14ac:dyDescent="0.25">
      <c r="A227" s="1" t="s">
        <v>404</v>
      </c>
      <c r="B227" s="2">
        <v>45104</v>
      </c>
      <c r="C227" s="1" t="s">
        <v>51</v>
      </c>
      <c r="D227" s="1" t="s">
        <v>84</v>
      </c>
      <c r="E227" s="1" t="s">
        <v>42</v>
      </c>
      <c r="F227" s="1" t="s">
        <v>81</v>
      </c>
      <c r="G227" s="1" t="s">
        <v>105</v>
      </c>
      <c r="H227">
        <v>15</v>
      </c>
      <c r="I227" s="4">
        <v>4690.3999999999996</v>
      </c>
      <c r="J227" s="4">
        <v>70356</v>
      </c>
      <c r="K227" s="6">
        <v>15</v>
      </c>
      <c r="L227" s="4">
        <v>59802.6</v>
      </c>
      <c r="M227" s="4">
        <v>30286.51</v>
      </c>
      <c r="N227" s="4">
        <v>29516.09</v>
      </c>
      <c r="O227" s="6">
        <v>49.36</v>
      </c>
      <c r="P227" s="1" t="s">
        <v>49</v>
      </c>
      <c r="Q227" s="1" t="s">
        <v>106</v>
      </c>
      <c r="R227" s="1" t="s">
        <v>26</v>
      </c>
    </row>
    <row r="228" spans="1:18" x14ac:dyDescent="0.25">
      <c r="A228" s="1" t="s">
        <v>428</v>
      </c>
      <c r="B228" s="2">
        <v>45343</v>
      </c>
      <c r="C228" s="1" t="s">
        <v>58</v>
      </c>
      <c r="D228" s="1" t="s">
        <v>59</v>
      </c>
      <c r="E228" s="1" t="s">
        <v>104</v>
      </c>
      <c r="F228" s="1" t="s">
        <v>47</v>
      </c>
      <c r="G228" s="1" t="s">
        <v>108</v>
      </c>
      <c r="H228">
        <v>42</v>
      </c>
      <c r="I228" s="4">
        <v>1658.05</v>
      </c>
      <c r="J228" s="4">
        <v>69638.100000000006</v>
      </c>
      <c r="K228" s="6">
        <v>15</v>
      </c>
      <c r="L228" s="4">
        <v>59192.39</v>
      </c>
      <c r="M228" s="4">
        <v>27430.77</v>
      </c>
      <c r="N228" s="4">
        <v>31761.62</v>
      </c>
      <c r="O228" s="6">
        <v>53.66</v>
      </c>
      <c r="P228" s="1" t="s">
        <v>62</v>
      </c>
      <c r="Q228" s="1" t="s">
        <v>25</v>
      </c>
      <c r="R228" s="1" t="s">
        <v>26</v>
      </c>
    </row>
    <row r="229" spans="1:18" x14ac:dyDescent="0.25">
      <c r="A229" s="1" t="s">
        <v>417</v>
      </c>
      <c r="B229" s="2">
        <v>44953</v>
      </c>
      <c r="C229" s="1" t="s">
        <v>34</v>
      </c>
      <c r="D229" s="1" t="s">
        <v>35</v>
      </c>
      <c r="E229" s="1" t="s">
        <v>139</v>
      </c>
      <c r="F229" s="1" t="s">
        <v>54</v>
      </c>
      <c r="G229" s="1" t="s">
        <v>136</v>
      </c>
      <c r="H229">
        <v>43</v>
      </c>
      <c r="I229" s="4">
        <v>1618.96</v>
      </c>
      <c r="J229" s="4">
        <v>69615.28</v>
      </c>
      <c r="K229" s="6">
        <v>15</v>
      </c>
      <c r="L229" s="4">
        <v>59172.99</v>
      </c>
      <c r="M229" s="4">
        <v>27213.8</v>
      </c>
      <c r="N229" s="4">
        <v>31959.19</v>
      </c>
      <c r="O229" s="6">
        <v>54.01</v>
      </c>
      <c r="P229" s="1" t="s">
        <v>49</v>
      </c>
      <c r="Q229" s="1" t="s">
        <v>106</v>
      </c>
      <c r="R229" s="1" t="s">
        <v>26</v>
      </c>
    </row>
    <row r="230" spans="1:18" x14ac:dyDescent="0.25">
      <c r="A230" s="1" t="s">
        <v>573</v>
      </c>
      <c r="B230" s="2">
        <v>45271</v>
      </c>
      <c r="C230" s="1" t="s">
        <v>58</v>
      </c>
      <c r="D230" s="1" t="s">
        <v>150</v>
      </c>
      <c r="E230" s="1" t="s">
        <v>21</v>
      </c>
      <c r="F230" s="1" t="s">
        <v>81</v>
      </c>
      <c r="G230" s="1" t="s">
        <v>134</v>
      </c>
      <c r="H230">
        <v>28</v>
      </c>
      <c r="I230" s="4">
        <v>2460.31</v>
      </c>
      <c r="J230" s="4">
        <v>68888.679999999993</v>
      </c>
      <c r="K230" s="6">
        <v>15</v>
      </c>
      <c r="L230" s="4">
        <v>58555.38</v>
      </c>
      <c r="M230" s="4">
        <v>26022.23</v>
      </c>
      <c r="N230" s="4">
        <v>32533.15</v>
      </c>
      <c r="O230" s="6">
        <v>55.56</v>
      </c>
      <c r="P230" s="1" t="s">
        <v>24</v>
      </c>
      <c r="Q230" s="1" t="s">
        <v>32</v>
      </c>
      <c r="R230" s="1" t="s">
        <v>26</v>
      </c>
    </row>
    <row r="231" spans="1:18" x14ac:dyDescent="0.25">
      <c r="A231" s="1" t="s">
        <v>456</v>
      </c>
      <c r="B231" s="2">
        <v>45394</v>
      </c>
      <c r="C231" s="1" t="s">
        <v>58</v>
      </c>
      <c r="D231" s="1" t="s">
        <v>119</v>
      </c>
      <c r="E231" s="1" t="s">
        <v>36</v>
      </c>
      <c r="F231" s="1" t="s">
        <v>47</v>
      </c>
      <c r="G231" s="1" t="s">
        <v>160</v>
      </c>
      <c r="H231">
        <v>22</v>
      </c>
      <c r="I231" s="4">
        <v>3029.04</v>
      </c>
      <c r="J231" s="4">
        <v>66638.880000000005</v>
      </c>
      <c r="K231" s="6">
        <v>15</v>
      </c>
      <c r="L231" s="4">
        <v>56643.05</v>
      </c>
      <c r="M231" s="4">
        <v>29458.639999999999</v>
      </c>
      <c r="N231" s="4">
        <v>27184.41</v>
      </c>
      <c r="O231" s="6">
        <v>47.99</v>
      </c>
      <c r="P231" s="1" t="s">
        <v>44</v>
      </c>
      <c r="Q231" s="1" t="s">
        <v>32</v>
      </c>
      <c r="R231" s="1" t="s">
        <v>26</v>
      </c>
    </row>
    <row r="232" spans="1:18" x14ac:dyDescent="0.25">
      <c r="A232" s="1" t="s">
        <v>295</v>
      </c>
      <c r="B232" s="2">
        <v>44978</v>
      </c>
      <c r="C232" s="1" t="s">
        <v>51</v>
      </c>
      <c r="D232" s="1" t="s">
        <v>91</v>
      </c>
      <c r="E232" s="1" t="s">
        <v>80</v>
      </c>
      <c r="F232" s="1" t="s">
        <v>47</v>
      </c>
      <c r="G232" s="1" t="s">
        <v>230</v>
      </c>
      <c r="H232">
        <v>7</v>
      </c>
      <c r="I232" s="4">
        <v>9369.67</v>
      </c>
      <c r="J232" s="4">
        <v>65587.69</v>
      </c>
      <c r="K232" s="6">
        <v>20</v>
      </c>
      <c r="L232" s="4">
        <v>52470.15</v>
      </c>
      <c r="M232" s="4">
        <v>24754.61</v>
      </c>
      <c r="N232" s="4">
        <v>27715.54</v>
      </c>
      <c r="O232" s="6">
        <v>52.82</v>
      </c>
      <c r="P232" s="1" t="s">
        <v>31</v>
      </c>
      <c r="Q232" s="1" t="s">
        <v>106</v>
      </c>
      <c r="R232" s="1" t="s">
        <v>26</v>
      </c>
    </row>
    <row r="233" spans="1:18" x14ac:dyDescent="0.25">
      <c r="A233" s="1" t="s">
        <v>566</v>
      </c>
      <c r="B233" s="2">
        <v>45187</v>
      </c>
      <c r="C233" s="1" t="s">
        <v>58</v>
      </c>
      <c r="D233" s="1" t="s">
        <v>59</v>
      </c>
      <c r="E233" s="1" t="s">
        <v>104</v>
      </c>
      <c r="F233" s="1" t="s">
        <v>81</v>
      </c>
      <c r="G233" s="1" t="s">
        <v>110</v>
      </c>
      <c r="H233">
        <v>35</v>
      </c>
      <c r="I233" s="4">
        <v>1868.64</v>
      </c>
      <c r="J233" s="4">
        <v>65402.400000000001</v>
      </c>
      <c r="K233" s="6">
        <v>20</v>
      </c>
      <c r="L233" s="4">
        <v>52321.919999999998</v>
      </c>
      <c r="M233" s="4">
        <v>35466.1</v>
      </c>
      <c r="N233" s="4">
        <v>16855.82</v>
      </c>
      <c r="O233" s="6">
        <v>32.22</v>
      </c>
      <c r="P233" s="1" t="s">
        <v>44</v>
      </c>
      <c r="Q233" s="1" t="s">
        <v>32</v>
      </c>
      <c r="R233" s="1" t="s">
        <v>26</v>
      </c>
    </row>
    <row r="234" spans="1:18" x14ac:dyDescent="0.25">
      <c r="A234" s="1" t="s">
        <v>492</v>
      </c>
      <c r="B234" s="2">
        <v>45602</v>
      </c>
      <c r="C234" s="1" t="s">
        <v>51</v>
      </c>
      <c r="D234" s="1" t="s">
        <v>88</v>
      </c>
      <c r="E234" s="1" t="s">
        <v>53</v>
      </c>
      <c r="F234" s="1" t="s">
        <v>47</v>
      </c>
      <c r="G234" s="1" t="s">
        <v>160</v>
      </c>
      <c r="H234">
        <v>13</v>
      </c>
      <c r="I234" s="4">
        <v>5005.5600000000004</v>
      </c>
      <c r="J234" s="4">
        <v>65072.28</v>
      </c>
      <c r="K234" s="6">
        <v>15</v>
      </c>
      <c r="L234" s="4">
        <v>55311.44</v>
      </c>
      <c r="M234" s="4">
        <v>27572.959999999999</v>
      </c>
      <c r="N234" s="4">
        <v>27738.48</v>
      </c>
      <c r="O234" s="6">
        <v>50.15</v>
      </c>
      <c r="P234" s="1" t="s">
        <v>44</v>
      </c>
      <c r="Q234" s="1" t="s">
        <v>63</v>
      </c>
      <c r="R234" s="1" t="s">
        <v>26</v>
      </c>
    </row>
    <row r="235" spans="1:18" x14ac:dyDescent="0.25">
      <c r="A235" s="1" t="s">
        <v>220</v>
      </c>
      <c r="B235" s="2">
        <v>45601</v>
      </c>
      <c r="C235" s="1" t="s">
        <v>34</v>
      </c>
      <c r="D235" s="1" t="s">
        <v>71</v>
      </c>
      <c r="E235" s="1" t="s">
        <v>85</v>
      </c>
      <c r="F235" s="1" t="s">
        <v>81</v>
      </c>
      <c r="G235" s="1" t="s">
        <v>134</v>
      </c>
      <c r="H235">
        <v>33</v>
      </c>
      <c r="I235" s="4">
        <v>1928.09</v>
      </c>
      <c r="J235" s="4">
        <v>63626.97</v>
      </c>
      <c r="K235" s="6">
        <v>20</v>
      </c>
      <c r="L235" s="4">
        <v>50901.58</v>
      </c>
      <c r="M235" s="4">
        <v>21022.84</v>
      </c>
      <c r="N235" s="4">
        <v>29878.74</v>
      </c>
      <c r="O235" s="6">
        <v>58.7</v>
      </c>
      <c r="P235" s="1" t="s">
        <v>31</v>
      </c>
      <c r="Q235" s="1" t="s">
        <v>38</v>
      </c>
      <c r="R235" s="1" t="s">
        <v>26</v>
      </c>
    </row>
    <row r="236" spans="1:18" x14ac:dyDescent="0.25">
      <c r="A236" s="1" t="s">
        <v>477</v>
      </c>
      <c r="B236" s="2">
        <v>45049</v>
      </c>
      <c r="C236" s="1" t="s">
        <v>51</v>
      </c>
      <c r="D236" s="1" t="s">
        <v>98</v>
      </c>
      <c r="E236" s="1" t="s">
        <v>80</v>
      </c>
      <c r="F236" s="1" t="s">
        <v>47</v>
      </c>
      <c r="G236" s="1" t="s">
        <v>77</v>
      </c>
      <c r="H236">
        <v>44</v>
      </c>
      <c r="I236" s="4">
        <v>1440.97</v>
      </c>
      <c r="J236" s="4">
        <v>63402.68</v>
      </c>
      <c r="K236" s="6">
        <v>5</v>
      </c>
      <c r="L236" s="4">
        <v>60232.55</v>
      </c>
      <c r="M236" s="4">
        <v>37375.730000000003</v>
      </c>
      <c r="N236" s="4">
        <v>22856.82</v>
      </c>
      <c r="O236" s="6">
        <v>37.950000000000003</v>
      </c>
      <c r="P236" s="1" t="s">
        <v>62</v>
      </c>
      <c r="Q236" s="1" t="s">
        <v>56</v>
      </c>
      <c r="R236" s="1" t="s">
        <v>26</v>
      </c>
    </row>
    <row r="237" spans="1:18" x14ac:dyDescent="0.25">
      <c r="A237" s="1" t="s">
        <v>132</v>
      </c>
      <c r="B237" s="2">
        <v>44928</v>
      </c>
      <c r="C237" s="1" t="s">
        <v>34</v>
      </c>
      <c r="D237" s="1" t="s">
        <v>133</v>
      </c>
      <c r="E237" s="1" t="s">
        <v>129</v>
      </c>
      <c r="F237" s="1" t="s">
        <v>81</v>
      </c>
      <c r="G237" s="1" t="s">
        <v>134</v>
      </c>
      <c r="H237">
        <v>37</v>
      </c>
      <c r="I237" s="4">
        <v>1682.61</v>
      </c>
      <c r="J237" s="4">
        <v>62256.57</v>
      </c>
      <c r="K237" s="6">
        <v>0</v>
      </c>
      <c r="L237" s="4">
        <v>62256.57</v>
      </c>
      <c r="M237" s="4">
        <v>38140.589999999997</v>
      </c>
      <c r="N237" s="4">
        <v>24115.98</v>
      </c>
      <c r="O237" s="6">
        <v>38.74</v>
      </c>
      <c r="P237" s="1" t="s">
        <v>31</v>
      </c>
      <c r="Q237" s="1" t="s">
        <v>25</v>
      </c>
      <c r="R237" s="1" t="s">
        <v>26</v>
      </c>
    </row>
    <row r="238" spans="1:18" x14ac:dyDescent="0.25">
      <c r="A238" s="1" t="s">
        <v>70</v>
      </c>
      <c r="B238" s="2">
        <v>45130</v>
      </c>
      <c r="C238" s="1" t="s">
        <v>34</v>
      </c>
      <c r="D238" s="1" t="s">
        <v>71</v>
      </c>
      <c r="E238" s="1" t="s">
        <v>72</v>
      </c>
      <c r="F238" s="1" t="s">
        <v>29</v>
      </c>
      <c r="G238" s="1" t="s">
        <v>73</v>
      </c>
      <c r="H238">
        <v>41</v>
      </c>
      <c r="I238" s="4">
        <v>1518.39</v>
      </c>
      <c r="J238" s="4">
        <v>62253.99</v>
      </c>
      <c r="K238" s="6">
        <v>25</v>
      </c>
      <c r="L238" s="4">
        <v>46690.49</v>
      </c>
      <c r="M238" s="4">
        <v>25787.1</v>
      </c>
      <c r="N238" s="4">
        <v>20903.39</v>
      </c>
      <c r="O238" s="6">
        <v>44.77</v>
      </c>
      <c r="P238" s="1" t="s">
        <v>49</v>
      </c>
      <c r="Q238" s="1" t="s">
        <v>38</v>
      </c>
      <c r="R238" s="1" t="s">
        <v>26</v>
      </c>
    </row>
    <row r="239" spans="1:18" x14ac:dyDescent="0.25">
      <c r="A239" s="1" t="s">
        <v>509</v>
      </c>
      <c r="B239" s="2">
        <v>45640</v>
      </c>
      <c r="C239" s="1" t="s">
        <v>19</v>
      </c>
      <c r="D239" s="1" t="s">
        <v>75</v>
      </c>
      <c r="E239" s="1" t="s">
        <v>42</v>
      </c>
      <c r="F239" s="1" t="s">
        <v>54</v>
      </c>
      <c r="G239" s="1" t="s">
        <v>96</v>
      </c>
      <c r="H239">
        <v>31</v>
      </c>
      <c r="I239" s="4">
        <v>2005.46</v>
      </c>
      <c r="J239" s="4">
        <v>62169.26</v>
      </c>
      <c r="K239" s="6">
        <v>15</v>
      </c>
      <c r="L239" s="4">
        <v>52843.87</v>
      </c>
      <c r="M239" s="4">
        <v>26694.36</v>
      </c>
      <c r="N239" s="4">
        <v>26149.51</v>
      </c>
      <c r="O239" s="6">
        <v>49.48</v>
      </c>
      <c r="P239" s="1" t="s">
        <v>31</v>
      </c>
      <c r="Q239" s="1" t="s">
        <v>56</v>
      </c>
      <c r="R239" s="1" t="s">
        <v>26</v>
      </c>
    </row>
    <row r="240" spans="1:18" x14ac:dyDescent="0.25">
      <c r="A240" s="1" t="s">
        <v>342</v>
      </c>
      <c r="B240" s="2">
        <v>45225</v>
      </c>
      <c r="C240" s="1" t="s">
        <v>51</v>
      </c>
      <c r="D240" s="1" t="s">
        <v>84</v>
      </c>
      <c r="E240" s="1" t="s">
        <v>85</v>
      </c>
      <c r="F240" s="1" t="s">
        <v>47</v>
      </c>
      <c r="G240" s="1" t="s">
        <v>115</v>
      </c>
      <c r="H240">
        <v>21</v>
      </c>
      <c r="I240" s="4">
        <v>2952.39</v>
      </c>
      <c r="J240" s="4">
        <v>62000.19</v>
      </c>
      <c r="K240" s="6">
        <v>15</v>
      </c>
      <c r="L240" s="4">
        <v>52700.160000000003</v>
      </c>
      <c r="M240" s="4">
        <v>36395.660000000003</v>
      </c>
      <c r="N240" s="4">
        <v>16304.5</v>
      </c>
      <c r="O240" s="6">
        <v>30.94</v>
      </c>
      <c r="P240" s="1" t="s">
        <v>62</v>
      </c>
      <c r="Q240" s="1" t="s">
        <v>25</v>
      </c>
      <c r="R240" s="1" t="s">
        <v>26</v>
      </c>
    </row>
    <row r="241" spans="1:18" x14ac:dyDescent="0.25">
      <c r="A241" s="1" t="s">
        <v>218</v>
      </c>
      <c r="B241" s="2">
        <v>44953</v>
      </c>
      <c r="C241" s="1" t="s">
        <v>19</v>
      </c>
      <c r="D241" s="1" t="s">
        <v>166</v>
      </c>
      <c r="E241" s="1" t="s">
        <v>28</v>
      </c>
      <c r="F241" s="1" t="s">
        <v>29</v>
      </c>
      <c r="G241" s="1" t="s">
        <v>68</v>
      </c>
      <c r="H241">
        <v>17</v>
      </c>
      <c r="I241" s="4">
        <v>3643.68</v>
      </c>
      <c r="J241" s="4">
        <v>61942.559999999998</v>
      </c>
      <c r="K241" s="6">
        <v>0</v>
      </c>
      <c r="L241" s="4">
        <v>61942.559999999998</v>
      </c>
      <c r="M241" s="4">
        <v>37061.300000000003</v>
      </c>
      <c r="N241" s="4">
        <v>24881.26</v>
      </c>
      <c r="O241" s="6">
        <v>40.17</v>
      </c>
      <c r="P241" s="1" t="s">
        <v>49</v>
      </c>
      <c r="Q241" s="1" t="s">
        <v>56</v>
      </c>
      <c r="R241" s="1" t="s">
        <v>26</v>
      </c>
    </row>
    <row r="242" spans="1:18" x14ac:dyDescent="0.25">
      <c r="A242" s="1" t="s">
        <v>280</v>
      </c>
      <c r="B242" s="2">
        <v>45071</v>
      </c>
      <c r="C242" s="1" t="s">
        <v>34</v>
      </c>
      <c r="D242" s="1" t="s">
        <v>71</v>
      </c>
      <c r="E242" s="1" t="s">
        <v>36</v>
      </c>
      <c r="F242" s="1" t="s">
        <v>81</v>
      </c>
      <c r="G242" s="1" t="s">
        <v>134</v>
      </c>
      <c r="H242">
        <v>16</v>
      </c>
      <c r="I242" s="4">
        <v>3838.49</v>
      </c>
      <c r="J242" s="4">
        <v>61415.839999999997</v>
      </c>
      <c r="K242" s="6">
        <v>10</v>
      </c>
      <c r="L242" s="4">
        <v>55274.26</v>
      </c>
      <c r="M242" s="4">
        <v>29565.03</v>
      </c>
      <c r="N242" s="4">
        <v>25709.23</v>
      </c>
      <c r="O242" s="6">
        <v>46.51</v>
      </c>
      <c r="P242" s="1" t="s">
        <v>24</v>
      </c>
      <c r="Q242" s="1" t="s">
        <v>56</v>
      </c>
      <c r="R242" s="1" t="s">
        <v>26</v>
      </c>
    </row>
    <row r="243" spans="1:18" x14ac:dyDescent="0.25">
      <c r="A243" s="1" t="s">
        <v>614</v>
      </c>
      <c r="B243" s="2">
        <v>45236</v>
      </c>
      <c r="C243" s="1" t="s">
        <v>58</v>
      </c>
      <c r="D243" s="1" t="s">
        <v>79</v>
      </c>
      <c r="E243" s="1" t="s">
        <v>36</v>
      </c>
      <c r="F243" s="1" t="s">
        <v>54</v>
      </c>
      <c r="G243" s="1" t="s">
        <v>96</v>
      </c>
      <c r="H243">
        <v>29</v>
      </c>
      <c r="I243" s="4">
        <v>2099.23</v>
      </c>
      <c r="J243" s="4">
        <v>60877.67</v>
      </c>
      <c r="K243" s="6">
        <v>10</v>
      </c>
      <c r="L243" s="4">
        <v>54789.9</v>
      </c>
      <c r="M243" s="4">
        <v>25468.639999999999</v>
      </c>
      <c r="N243" s="4">
        <v>29321.26</v>
      </c>
      <c r="O243" s="6">
        <v>53.52</v>
      </c>
      <c r="P243" s="1" t="s">
        <v>49</v>
      </c>
      <c r="Q243" s="1" t="s">
        <v>56</v>
      </c>
      <c r="R243" s="1" t="s">
        <v>26</v>
      </c>
    </row>
    <row r="244" spans="1:18" x14ac:dyDescent="0.25">
      <c r="A244" s="1" t="s">
        <v>601</v>
      </c>
      <c r="B244" s="2">
        <v>45211</v>
      </c>
      <c r="C244" s="1" t="s">
        <v>58</v>
      </c>
      <c r="D244" s="1" t="s">
        <v>150</v>
      </c>
      <c r="E244" s="1" t="s">
        <v>120</v>
      </c>
      <c r="F244" s="1" t="s">
        <v>54</v>
      </c>
      <c r="G244" s="1" t="s">
        <v>99</v>
      </c>
      <c r="H244">
        <v>39</v>
      </c>
      <c r="I244" s="4">
        <v>1560.24</v>
      </c>
      <c r="J244" s="4">
        <v>60849.36</v>
      </c>
      <c r="K244" s="6">
        <v>5</v>
      </c>
      <c r="L244" s="4">
        <v>57806.89</v>
      </c>
      <c r="M244" s="4">
        <v>38421.370000000003</v>
      </c>
      <c r="N244" s="4">
        <v>19385.52</v>
      </c>
      <c r="O244" s="6">
        <v>33.53</v>
      </c>
      <c r="P244" s="1" t="s">
        <v>31</v>
      </c>
      <c r="Q244" s="1" t="s">
        <v>63</v>
      </c>
      <c r="R244" s="1" t="s">
        <v>26</v>
      </c>
    </row>
    <row r="245" spans="1:18" x14ac:dyDescent="0.25">
      <c r="A245" s="1" t="s">
        <v>247</v>
      </c>
      <c r="B245" s="2">
        <v>45424</v>
      </c>
      <c r="C245" s="1" t="s">
        <v>58</v>
      </c>
      <c r="D245" s="1" t="s">
        <v>119</v>
      </c>
      <c r="E245" s="1" t="s">
        <v>36</v>
      </c>
      <c r="F245" s="1" t="s">
        <v>47</v>
      </c>
      <c r="G245" s="1" t="s">
        <v>202</v>
      </c>
      <c r="H245">
        <v>20</v>
      </c>
      <c r="I245" s="4">
        <v>2990.85</v>
      </c>
      <c r="J245" s="4">
        <v>59817</v>
      </c>
      <c r="K245" s="6">
        <v>5</v>
      </c>
      <c r="L245" s="4">
        <v>56826.15</v>
      </c>
      <c r="M245" s="4">
        <v>28556.26</v>
      </c>
      <c r="N245" s="4">
        <v>28269.89</v>
      </c>
      <c r="O245" s="6">
        <v>49.75</v>
      </c>
      <c r="P245" s="1" t="s">
        <v>49</v>
      </c>
      <c r="Q245" s="1" t="s">
        <v>106</v>
      </c>
      <c r="R245" s="1" t="s">
        <v>26</v>
      </c>
    </row>
    <row r="246" spans="1:18" x14ac:dyDescent="0.25">
      <c r="A246" s="1" t="s">
        <v>228</v>
      </c>
      <c r="B246" s="2">
        <v>45470</v>
      </c>
      <c r="C246" s="1" t="s">
        <v>51</v>
      </c>
      <c r="D246" s="1" t="s">
        <v>98</v>
      </c>
      <c r="E246" s="1" t="s">
        <v>120</v>
      </c>
      <c r="F246" s="1" t="s">
        <v>81</v>
      </c>
      <c r="G246" s="1" t="s">
        <v>178</v>
      </c>
      <c r="H246">
        <v>10</v>
      </c>
      <c r="I246" s="4">
        <v>5979.56</v>
      </c>
      <c r="J246" s="4">
        <v>59795.6</v>
      </c>
      <c r="K246" s="6">
        <v>0</v>
      </c>
      <c r="L246" s="4">
        <v>59795.6</v>
      </c>
      <c r="M246" s="4">
        <v>25564.25</v>
      </c>
      <c r="N246" s="4">
        <v>34231.35</v>
      </c>
      <c r="O246" s="6">
        <v>57.25</v>
      </c>
      <c r="P246" s="1" t="s">
        <v>49</v>
      </c>
      <c r="Q246" s="1" t="s">
        <v>32</v>
      </c>
      <c r="R246" s="1" t="s">
        <v>26</v>
      </c>
    </row>
    <row r="247" spans="1:18" x14ac:dyDescent="0.25">
      <c r="A247" s="1" t="s">
        <v>470</v>
      </c>
      <c r="B247" s="2">
        <v>45643</v>
      </c>
      <c r="C247" s="1" t="s">
        <v>51</v>
      </c>
      <c r="D247" s="1" t="s">
        <v>84</v>
      </c>
      <c r="E247" s="1" t="s">
        <v>139</v>
      </c>
      <c r="F247" s="1" t="s">
        <v>54</v>
      </c>
      <c r="G247" s="1" t="s">
        <v>86</v>
      </c>
      <c r="H247">
        <v>29</v>
      </c>
      <c r="I247" s="4">
        <v>2041.27</v>
      </c>
      <c r="J247" s="4">
        <v>59196.83</v>
      </c>
      <c r="K247" s="6">
        <v>5</v>
      </c>
      <c r="L247" s="4">
        <v>56236.99</v>
      </c>
      <c r="M247" s="4">
        <v>29458.26</v>
      </c>
      <c r="N247" s="4">
        <v>26778.73</v>
      </c>
      <c r="O247" s="6">
        <v>47.62</v>
      </c>
      <c r="P247" s="1" t="s">
        <v>31</v>
      </c>
      <c r="Q247" s="1" t="s">
        <v>38</v>
      </c>
      <c r="R247" s="1" t="s">
        <v>26</v>
      </c>
    </row>
    <row r="248" spans="1:18" x14ac:dyDescent="0.25">
      <c r="A248" s="1" t="s">
        <v>549</v>
      </c>
      <c r="B248" s="2">
        <v>44961</v>
      </c>
      <c r="C248" s="1" t="s">
        <v>19</v>
      </c>
      <c r="D248" s="1" t="s">
        <v>20</v>
      </c>
      <c r="E248" s="1" t="s">
        <v>129</v>
      </c>
      <c r="F248" s="1" t="s">
        <v>22</v>
      </c>
      <c r="G248" s="1" t="s">
        <v>43</v>
      </c>
      <c r="H248">
        <v>50</v>
      </c>
      <c r="I248" s="4">
        <v>1171.97</v>
      </c>
      <c r="J248" s="4">
        <v>58598.5</v>
      </c>
      <c r="K248" s="6">
        <v>5</v>
      </c>
      <c r="L248" s="4">
        <v>55668.57</v>
      </c>
      <c r="M248" s="4">
        <v>34586.089999999997</v>
      </c>
      <c r="N248" s="4">
        <v>21082.48</v>
      </c>
      <c r="O248" s="6">
        <v>37.869999999999997</v>
      </c>
      <c r="P248" s="1" t="s">
        <v>49</v>
      </c>
      <c r="Q248" s="1" t="s">
        <v>32</v>
      </c>
      <c r="R248" s="1" t="s">
        <v>26</v>
      </c>
    </row>
    <row r="249" spans="1:18" x14ac:dyDescent="0.25">
      <c r="A249" s="1" t="s">
        <v>546</v>
      </c>
      <c r="B249" s="2">
        <v>45031</v>
      </c>
      <c r="C249" s="1" t="s">
        <v>58</v>
      </c>
      <c r="D249" s="1" t="s">
        <v>126</v>
      </c>
      <c r="E249" s="1" t="s">
        <v>80</v>
      </c>
      <c r="F249" s="1" t="s">
        <v>47</v>
      </c>
      <c r="G249" s="1" t="s">
        <v>202</v>
      </c>
      <c r="H249">
        <v>4</v>
      </c>
      <c r="I249" s="4">
        <v>14556.34</v>
      </c>
      <c r="J249" s="4">
        <v>58225.36</v>
      </c>
      <c r="K249" s="6">
        <v>0</v>
      </c>
      <c r="L249" s="4">
        <v>58225.36</v>
      </c>
      <c r="M249" s="4">
        <v>26538.03</v>
      </c>
      <c r="N249" s="4">
        <v>31687.33</v>
      </c>
      <c r="O249" s="6">
        <v>54.42</v>
      </c>
      <c r="P249" s="1" t="s">
        <v>44</v>
      </c>
      <c r="Q249" s="1" t="s">
        <v>38</v>
      </c>
      <c r="R249" s="1" t="s">
        <v>26</v>
      </c>
    </row>
    <row r="250" spans="1:18" x14ac:dyDescent="0.25">
      <c r="A250" s="1" t="s">
        <v>534</v>
      </c>
      <c r="B250" s="2">
        <v>45384</v>
      </c>
      <c r="C250" s="1" t="s">
        <v>51</v>
      </c>
      <c r="D250" s="1" t="s">
        <v>91</v>
      </c>
      <c r="E250" s="1" t="s">
        <v>42</v>
      </c>
      <c r="F250" s="1" t="s">
        <v>81</v>
      </c>
      <c r="G250" s="1" t="s">
        <v>82</v>
      </c>
      <c r="H250">
        <v>19</v>
      </c>
      <c r="I250" s="4">
        <v>2969.85</v>
      </c>
      <c r="J250" s="4">
        <v>56427.15</v>
      </c>
      <c r="K250" s="6">
        <v>25</v>
      </c>
      <c r="L250" s="4">
        <v>42320.36</v>
      </c>
      <c r="M250" s="4">
        <v>23408.799999999999</v>
      </c>
      <c r="N250" s="4">
        <v>18911.560000000001</v>
      </c>
      <c r="O250" s="6">
        <v>44.69</v>
      </c>
      <c r="P250" s="1" t="s">
        <v>24</v>
      </c>
      <c r="Q250" s="1" t="s">
        <v>32</v>
      </c>
      <c r="R250" s="1" t="s">
        <v>26</v>
      </c>
    </row>
    <row r="251" spans="1:18" x14ac:dyDescent="0.25">
      <c r="A251" s="1" t="s">
        <v>508</v>
      </c>
      <c r="B251" s="2">
        <v>45621</v>
      </c>
      <c r="C251" s="1" t="s">
        <v>19</v>
      </c>
      <c r="D251" s="1" t="s">
        <v>20</v>
      </c>
      <c r="E251" s="1" t="s">
        <v>53</v>
      </c>
      <c r="F251" s="1" t="s">
        <v>54</v>
      </c>
      <c r="G251" s="1" t="s">
        <v>102</v>
      </c>
      <c r="H251">
        <v>39</v>
      </c>
      <c r="I251" s="4">
        <v>1417.32</v>
      </c>
      <c r="J251" s="4">
        <v>55275.48</v>
      </c>
      <c r="K251" s="6">
        <v>0</v>
      </c>
      <c r="L251" s="4">
        <v>55275.48</v>
      </c>
      <c r="M251" s="4">
        <v>36984.31</v>
      </c>
      <c r="N251" s="4">
        <v>18291.169999999998</v>
      </c>
      <c r="O251" s="6">
        <v>33.090000000000003</v>
      </c>
      <c r="P251" s="1" t="s">
        <v>62</v>
      </c>
      <c r="Q251" s="1" t="s">
        <v>25</v>
      </c>
      <c r="R251" s="1" t="s">
        <v>26</v>
      </c>
    </row>
    <row r="252" spans="1:18" x14ac:dyDescent="0.25">
      <c r="A252" s="1" t="s">
        <v>451</v>
      </c>
      <c r="B252" s="2">
        <v>45043</v>
      </c>
      <c r="C252" s="1" t="s">
        <v>19</v>
      </c>
      <c r="D252" s="1" t="s">
        <v>75</v>
      </c>
      <c r="E252" s="1" t="s">
        <v>129</v>
      </c>
      <c r="F252" s="1" t="s">
        <v>47</v>
      </c>
      <c r="G252" s="1" t="s">
        <v>127</v>
      </c>
      <c r="H252">
        <v>7</v>
      </c>
      <c r="I252" s="4">
        <v>7844.72</v>
      </c>
      <c r="J252" s="4">
        <v>54913.04</v>
      </c>
      <c r="K252" s="6">
        <v>20</v>
      </c>
      <c r="L252" s="4">
        <v>43930.43</v>
      </c>
      <c r="M252" s="4">
        <v>19123.810000000001</v>
      </c>
      <c r="N252" s="4">
        <v>24806.62</v>
      </c>
      <c r="O252" s="6">
        <v>56.47</v>
      </c>
      <c r="P252" s="1" t="s">
        <v>24</v>
      </c>
      <c r="Q252" s="1" t="s">
        <v>32</v>
      </c>
      <c r="R252" s="1" t="s">
        <v>26</v>
      </c>
    </row>
    <row r="253" spans="1:18" x14ac:dyDescent="0.25">
      <c r="A253" s="1" t="s">
        <v>530</v>
      </c>
      <c r="B253" s="2">
        <v>45168</v>
      </c>
      <c r="C253" s="1" t="s">
        <v>34</v>
      </c>
      <c r="D253" s="1" t="s">
        <v>133</v>
      </c>
      <c r="E253" s="1" t="s">
        <v>104</v>
      </c>
      <c r="F253" s="1" t="s">
        <v>29</v>
      </c>
      <c r="G253" s="1" t="s">
        <v>68</v>
      </c>
      <c r="H253">
        <v>44</v>
      </c>
      <c r="I253" s="4">
        <v>1221.4100000000001</v>
      </c>
      <c r="J253" s="4">
        <v>53742.04</v>
      </c>
      <c r="K253" s="6">
        <v>0</v>
      </c>
      <c r="L253" s="4">
        <v>53742.04</v>
      </c>
      <c r="M253" s="4">
        <v>33118.239999999998</v>
      </c>
      <c r="N253" s="4">
        <v>20623.8</v>
      </c>
      <c r="O253" s="6">
        <v>38.380000000000003</v>
      </c>
      <c r="P253" s="1" t="s">
        <v>31</v>
      </c>
      <c r="Q253" s="1" t="s">
        <v>32</v>
      </c>
      <c r="R253" s="1" t="s">
        <v>26</v>
      </c>
    </row>
    <row r="254" spans="1:18" x14ac:dyDescent="0.25">
      <c r="A254" s="1" t="s">
        <v>551</v>
      </c>
      <c r="B254" s="2">
        <v>45042</v>
      </c>
      <c r="C254" s="1" t="s">
        <v>19</v>
      </c>
      <c r="D254" s="1" t="s">
        <v>166</v>
      </c>
      <c r="E254" s="1" t="s">
        <v>21</v>
      </c>
      <c r="F254" s="1" t="s">
        <v>54</v>
      </c>
      <c r="G254" s="1" t="s">
        <v>55</v>
      </c>
      <c r="H254">
        <v>24</v>
      </c>
      <c r="I254" s="4">
        <v>2235.67</v>
      </c>
      <c r="J254" s="4">
        <v>53656.08</v>
      </c>
      <c r="K254" s="6">
        <v>25</v>
      </c>
      <c r="L254" s="4">
        <v>40242.06</v>
      </c>
      <c r="M254" s="4">
        <v>18726.099999999999</v>
      </c>
      <c r="N254" s="4">
        <v>21515.96</v>
      </c>
      <c r="O254" s="6">
        <v>53.47</v>
      </c>
      <c r="P254" s="1" t="s">
        <v>49</v>
      </c>
      <c r="Q254" s="1" t="s">
        <v>63</v>
      </c>
      <c r="R254" s="1" t="s">
        <v>26</v>
      </c>
    </row>
    <row r="255" spans="1:18" x14ac:dyDescent="0.25">
      <c r="A255" s="1" t="s">
        <v>245</v>
      </c>
      <c r="B255" s="2">
        <v>45244</v>
      </c>
      <c r="C255" s="1" t="s">
        <v>58</v>
      </c>
      <c r="D255" s="1" t="s">
        <v>59</v>
      </c>
      <c r="E255" s="1" t="s">
        <v>36</v>
      </c>
      <c r="F255" s="1" t="s">
        <v>47</v>
      </c>
      <c r="G255" s="1" t="s">
        <v>127</v>
      </c>
      <c r="H255">
        <v>6</v>
      </c>
      <c r="I255" s="4">
        <v>8887.1299999999992</v>
      </c>
      <c r="J255" s="4">
        <v>53322.78</v>
      </c>
      <c r="K255" s="6">
        <v>5</v>
      </c>
      <c r="L255" s="4">
        <v>50656.639999999999</v>
      </c>
      <c r="M255" s="4">
        <v>34194.44</v>
      </c>
      <c r="N255" s="4">
        <v>16462.2</v>
      </c>
      <c r="O255" s="6">
        <v>32.5</v>
      </c>
      <c r="P255" s="1" t="s">
        <v>62</v>
      </c>
      <c r="Q255" s="1" t="s">
        <v>106</v>
      </c>
      <c r="R255" s="1" t="s">
        <v>26</v>
      </c>
    </row>
    <row r="256" spans="1:18" x14ac:dyDescent="0.25">
      <c r="A256" s="1" t="s">
        <v>521</v>
      </c>
      <c r="B256" s="2">
        <v>45527</v>
      </c>
      <c r="C256" s="1" t="s">
        <v>58</v>
      </c>
      <c r="D256" s="1" t="s">
        <v>119</v>
      </c>
      <c r="E256" s="1" t="s">
        <v>42</v>
      </c>
      <c r="F256" s="1" t="s">
        <v>54</v>
      </c>
      <c r="G256" s="1" t="s">
        <v>96</v>
      </c>
      <c r="H256">
        <v>22</v>
      </c>
      <c r="I256" s="4">
        <v>2408.91</v>
      </c>
      <c r="J256" s="4">
        <v>52996.02</v>
      </c>
      <c r="K256" s="6">
        <v>15</v>
      </c>
      <c r="L256" s="4">
        <v>45046.62</v>
      </c>
      <c r="M256" s="4">
        <v>27229.71</v>
      </c>
      <c r="N256" s="4">
        <v>17816.91</v>
      </c>
      <c r="O256" s="6">
        <v>39.549999999999997</v>
      </c>
      <c r="P256" s="1" t="s">
        <v>24</v>
      </c>
      <c r="Q256" s="1" t="s">
        <v>32</v>
      </c>
      <c r="R256" s="1" t="s">
        <v>26</v>
      </c>
    </row>
    <row r="257" spans="1:18" x14ac:dyDescent="0.25">
      <c r="A257" s="1" t="s">
        <v>311</v>
      </c>
      <c r="B257" s="2">
        <v>44950</v>
      </c>
      <c r="C257" s="1" t="s">
        <v>19</v>
      </c>
      <c r="D257" s="1" t="s">
        <v>159</v>
      </c>
      <c r="E257" s="1" t="s">
        <v>28</v>
      </c>
      <c r="F257" s="1" t="s">
        <v>81</v>
      </c>
      <c r="G257" s="1" t="s">
        <v>178</v>
      </c>
      <c r="H257">
        <v>9</v>
      </c>
      <c r="I257" s="4">
        <v>5877.29</v>
      </c>
      <c r="J257" s="4">
        <v>52895.61</v>
      </c>
      <c r="K257" s="6">
        <v>5</v>
      </c>
      <c r="L257" s="4">
        <v>50250.83</v>
      </c>
      <c r="M257" s="4">
        <v>32685.48</v>
      </c>
      <c r="N257" s="4">
        <v>17565.349999999999</v>
      </c>
      <c r="O257" s="6">
        <v>34.96</v>
      </c>
      <c r="P257" s="1" t="s">
        <v>44</v>
      </c>
      <c r="Q257" s="1" t="s">
        <v>32</v>
      </c>
      <c r="R257" s="1" t="s">
        <v>26</v>
      </c>
    </row>
    <row r="258" spans="1:18" x14ac:dyDescent="0.25">
      <c r="A258" s="1" t="s">
        <v>455</v>
      </c>
      <c r="B258" s="2">
        <v>45606</v>
      </c>
      <c r="C258" s="1" t="s">
        <v>34</v>
      </c>
      <c r="D258" s="1" t="s">
        <v>133</v>
      </c>
      <c r="E258" s="1" t="s">
        <v>120</v>
      </c>
      <c r="F258" s="1" t="s">
        <v>22</v>
      </c>
      <c r="G258" s="1" t="s">
        <v>94</v>
      </c>
      <c r="H258">
        <v>49</v>
      </c>
      <c r="I258" s="4">
        <v>1077.1300000000001</v>
      </c>
      <c r="J258" s="4">
        <v>52779.37</v>
      </c>
      <c r="K258" s="6">
        <v>0</v>
      </c>
      <c r="L258" s="4">
        <v>52779.37</v>
      </c>
      <c r="M258" s="4">
        <v>34602.129999999997</v>
      </c>
      <c r="N258" s="4">
        <v>18177.240000000002</v>
      </c>
      <c r="O258" s="6">
        <v>34.44</v>
      </c>
      <c r="P258" s="1" t="s">
        <v>49</v>
      </c>
      <c r="Q258" s="1" t="s">
        <v>38</v>
      </c>
      <c r="R258" s="1" t="s">
        <v>26</v>
      </c>
    </row>
    <row r="259" spans="1:18" x14ac:dyDescent="0.25">
      <c r="A259" s="1" t="s">
        <v>447</v>
      </c>
      <c r="B259" s="2">
        <v>45428</v>
      </c>
      <c r="C259" s="1" t="s">
        <v>34</v>
      </c>
      <c r="D259" s="1" t="s">
        <v>133</v>
      </c>
      <c r="E259" s="1" t="s">
        <v>129</v>
      </c>
      <c r="F259" s="1" t="s">
        <v>22</v>
      </c>
      <c r="G259" s="1" t="s">
        <v>170</v>
      </c>
      <c r="H259">
        <v>44</v>
      </c>
      <c r="I259" s="4">
        <v>1194.93</v>
      </c>
      <c r="J259" s="4">
        <v>52576.92</v>
      </c>
      <c r="K259" s="6">
        <v>10</v>
      </c>
      <c r="L259" s="4">
        <v>47319.23</v>
      </c>
      <c r="M259" s="4">
        <v>33068.65</v>
      </c>
      <c r="N259" s="4">
        <v>14250.58</v>
      </c>
      <c r="O259" s="6">
        <v>30.12</v>
      </c>
      <c r="P259" s="1" t="s">
        <v>44</v>
      </c>
      <c r="Q259" s="1" t="s">
        <v>106</v>
      </c>
      <c r="R259" s="1" t="s">
        <v>26</v>
      </c>
    </row>
    <row r="260" spans="1:18" x14ac:dyDescent="0.25">
      <c r="A260" s="1" t="s">
        <v>329</v>
      </c>
      <c r="B260" s="2">
        <v>45342</v>
      </c>
      <c r="C260" s="1" t="s">
        <v>51</v>
      </c>
      <c r="D260" s="1" t="s">
        <v>98</v>
      </c>
      <c r="E260" s="1" t="s">
        <v>72</v>
      </c>
      <c r="F260" s="1" t="s">
        <v>81</v>
      </c>
      <c r="G260" s="1" t="s">
        <v>186</v>
      </c>
      <c r="H260">
        <v>23</v>
      </c>
      <c r="I260" s="4">
        <v>2285.13</v>
      </c>
      <c r="J260" s="4">
        <v>52557.99</v>
      </c>
      <c r="K260" s="6">
        <v>15</v>
      </c>
      <c r="L260" s="4">
        <v>44674.29</v>
      </c>
      <c r="M260" s="4">
        <v>18928.75</v>
      </c>
      <c r="N260" s="4">
        <v>25745.54</v>
      </c>
      <c r="O260" s="6">
        <v>57.63</v>
      </c>
      <c r="P260" s="1" t="s">
        <v>62</v>
      </c>
      <c r="Q260" s="1" t="s">
        <v>25</v>
      </c>
      <c r="R260" s="1" t="s">
        <v>26</v>
      </c>
    </row>
    <row r="261" spans="1:18" x14ac:dyDescent="0.25">
      <c r="A261" s="1" t="s">
        <v>400</v>
      </c>
      <c r="B261" s="2">
        <v>44962</v>
      </c>
      <c r="C261" s="1" t="s">
        <v>58</v>
      </c>
      <c r="D261" s="1" t="s">
        <v>126</v>
      </c>
      <c r="E261" s="1" t="s">
        <v>53</v>
      </c>
      <c r="F261" s="1" t="s">
        <v>47</v>
      </c>
      <c r="G261" s="1" t="s">
        <v>115</v>
      </c>
      <c r="H261">
        <v>12</v>
      </c>
      <c r="I261" s="4">
        <v>4378.4799999999996</v>
      </c>
      <c r="J261" s="4">
        <v>52541.760000000002</v>
      </c>
      <c r="K261" s="6">
        <v>15</v>
      </c>
      <c r="L261" s="4">
        <v>44660.5</v>
      </c>
      <c r="M261" s="4">
        <v>29700.44</v>
      </c>
      <c r="N261" s="4">
        <v>14960.06</v>
      </c>
      <c r="O261" s="6">
        <v>33.5</v>
      </c>
      <c r="P261" s="1" t="s">
        <v>31</v>
      </c>
      <c r="Q261" s="1" t="s">
        <v>25</v>
      </c>
      <c r="R261" s="1" t="s">
        <v>26</v>
      </c>
    </row>
    <row r="262" spans="1:18" x14ac:dyDescent="0.25">
      <c r="A262" s="1" t="s">
        <v>358</v>
      </c>
      <c r="B262" s="2">
        <v>45126</v>
      </c>
      <c r="C262" s="1" t="s">
        <v>51</v>
      </c>
      <c r="D262" s="1" t="s">
        <v>98</v>
      </c>
      <c r="E262" s="1" t="s">
        <v>104</v>
      </c>
      <c r="F262" s="1" t="s">
        <v>47</v>
      </c>
      <c r="G262" s="1" t="s">
        <v>77</v>
      </c>
      <c r="H262">
        <v>4</v>
      </c>
      <c r="I262" s="4">
        <v>13029.9</v>
      </c>
      <c r="J262" s="4">
        <v>52119.6</v>
      </c>
      <c r="K262" s="6">
        <v>0</v>
      </c>
      <c r="L262" s="4">
        <v>52119.6</v>
      </c>
      <c r="M262" s="4">
        <v>28425.13</v>
      </c>
      <c r="N262" s="4">
        <v>23694.47</v>
      </c>
      <c r="O262" s="6">
        <v>45.46</v>
      </c>
      <c r="P262" s="1" t="s">
        <v>62</v>
      </c>
      <c r="Q262" s="1" t="s">
        <v>25</v>
      </c>
      <c r="R262" s="1" t="s">
        <v>26</v>
      </c>
    </row>
    <row r="263" spans="1:18" x14ac:dyDescent="0.25">
      <c r="A263" s="1" t="s">
        <v>355</v>
      </c>
      <c r="B263" s="2">
        <v>45616</v>
      </c>
      <c r="C263" s="1" t="s">
        <v>58</v>
      </c>
      <c r="D263" s="1" t="s">
        <v>119</v>
      </c>
      <c r="E263" s="1" t="s">
        <v>36</v>
      </c>
      <c r="F263" s="1" t="s">
        <v>54</v>
      </c>
      <c r="G263" s="1" t="s">
        <v>136</v>
      </c>
      <c r="H263">
        <v>23</v>
      </c>
      <c r="I263" s="4">
        <v>2136.9699999999998</v>
      </c>
      <c r="J263" s="4">
        <v>49150.31</v>
      </c>
      <c r="K263" s="6">
        <v>20</v>
      </c>
      <c r="L263" s="4">
        <v>39320.25</v>
      </c>
      <c r="M263" s="4">
        <v>17763.25</v>
      </c>
      <c r="N263" s="4">
        <v>21557</v>
      </c>
      <c r="O263" s="6">
        <v>54.82</v>
      </c>
      <c r="P263" s="1" t="s">
        <v>44</v>
      </c>
      <c r="Q263" s="1" t="s">
        <v>25</v>
      </c>
      <c r="R263" s="1" t="s">
        <v>26</v>
      </c>
    </row>
    <row r="264" spans="1:18" x14ac:dyDescent="0.25">
      <c r="A264" s="1" t="s">
        <v>478</v>
      </c>
      <c r="B264" s="2">
        <v>45257</v>
      </c>
      <c r="C264" s="1" t="s">
        <v>34</v>
      </c>
      <c r="D264" s="1" t="s">
        <v>46</v>
      </c>
      <c r="E264" s="1" t="s">
        <v>76</v>
      </c>
      <c r="F264" s="1" t="s">
        <v>29</v>
      </c>
      <c r="G264" s="1" t="s">
        <v>66</v>
      </c>
      <c r="H264">
        <v>22</v>
      </c>
      <c r="I264" s="4">
        <v>2231.91</v>
      </c>
      <c r="J264" s="4">
        <v>49102.02</v>
      </c>
      <c r="K264" s="6">
        <v>5</v>
      </c>
      <c r="L264" s="4">
        <v>46646.92</v>
      </c>
      <c r="M264" s="4">
        <v>19217.7</v>
      </c>
      <c r="N264" s="4">
        <v>27429.22</v>
      </c>
      <c r="O264" s="6">
        <v>58.8</v>
      </c>
      <c r="P264" s="1" t="s">
        <v>31</v>
      </c>
      <c r="Q264" s="1" t="s">
        <v>56</v>
      </c>
      <c r="R264" s="1" t="s">
        <v>26</v>
      </c>
    </row>
    <row r="265" spans="1:18" x14ac:dyDescent="0.25">
      <c r="A265" s="1" t="s">
        <v>472</v>
      </c>
      <c r="B265" s="2">
        <v>45511</v>
      </c>
      <c r="C265" s="1" t="s">
        <v>51</v>
      </c>
      <c r="D265" s="1" t="s">
        <v>91</v>
      </c>
      <c r="E265" s="1" t="s">
        <v>65</v>
      </c>
      <c r="F265" s="1" t="s">
        <v>81</v>
      </c>
      <c r="G265" s="1" t="s">
        <v>163</v>
      </c>
      <c r="H265">
        <v>8</v>
      </c>
      <c r="I265" s="4">
        <v>6134.05</v>
      </c>
      <c r="J265" s="4">
        <v>49072.4</v>
      </c>
      <c r="K265" s="6">
        <v>20</v>
      </c>
      <c r="L265" s="4">
        <v>39257.919999999998</v>
      </c>
      <c r="M265" s="4">
        <v>21360.67</v>
      </c>
      <c r="N265" s="4">
        <v>17897.25</v>
      </c>
      <c r="O265" s="6">
        <v>45.59</v>
      </c>
      <c r="P265" s="1" t="s">
        <v>62</v>
      </c>
      <c r="Q265" s="1" t="s">
        <v>63</v>
      </c>
      <c r="R265" s="1" t="s">
        <v>26</v>
      </c>
    </row>
    <row r="266" spans="1:18" x14ac:dyDescent="0.25">
      <c r="A266" s="1" t="s">
        <v>198</v>
      </c>
      <c r="B266" s="2">
        <v>45198</v>
      </c>
      <c r="C266" s="1" t="s">
        <v>58</v>
      </c>
      <c r="D266" s="1" t="s">
        <v>79</v>
      </c>
      <c r="E266" s="1" t="s">
        <v>129</v>
      </c>
      <c r="F266" s="1" t="s">
        <v>22</v>
      </c>
      <c r="G266" s="1" t="s">
        <v>124</v>
      </c>
      <c r="H266">
        <v>42</v>
      </c>
      <c r="I266" s="4">
        <v>1166.3499999999999</v>
      </c>
      <c r="J266" s="4">
        <v>48986.7</v>
      </c>
      <c r="K266" s="6">
        <v>0</v>
      </c>
      <c r="L266" s="4">
        <v>48986.7</v>
      </c>
      <c r="M266" s="4">
        <v>26494.32</v>
      </c>
      <c r="N266" s="4">
        <v>22492.38</v>
      </c>
      <c r="O266" s="6">
        <v>45.92</v>
      </c>
      <c r="P266" s="1" t="s">
        <v>44</v>
      </c>
      <c r="Q266" s="1" t="s">
        <v>25</v>
      </c>
      <c r="R266" s="1" t="s">
        <v>26</v>
      </c>
    </row>
    <row r="267" spans="1:18" x14ac:dyDescent="0.25">
      <c r="A267" s="1" t="s">
        <v>373</v>
      </c>
      <c r="B267" s="2">
        <v>45620</v>
      </c>
      <c r="C267" s="1" t="s">
        <v>19</v>
      </c>
      <c r="D267" s="1" t="s">
        <v>20</v>
      </c>
      <c r="E267" s="1" t="s">
        <v>53</v>
      </c>
      <c r="F267" s="1" t="s">
        <v>47</v>
      </c>
      <c r="G267" s="1" t="s">
        <v>48</v>
      </c>
      <c r="H267">
        <v>20</v>
      </c>
      <c r="I267" s="4">
        <v>2358.94</v>
      </c>
      <c r="J267" s="4">
        <v>47178.8</v>
      </c>
      <c r="K267" s="6">
        <v>5</v>
      </c>
      <c r="L267" s="4">
        <v>44819.86</v>
      </c>
      <c r="M267" s="4">
        <v>26554.55</v>
      </c>
      <c r="N267" s="4">
        <v>18265.310000000001</v>
      </c>
      <c r="O267" s="6">
        <v>40.75</v>
      </c>
      <c r="P267" s="1" t="s">
        <v>49</v>
      </c>
      <c r="Q267" s="1" t="s">
        <v>56</v>
      </c>
      <c r="R267" s="1" t="s">
        <v>26</v>
      </c>
    </row>
    <row r="268" spans="1:18" x14ac:dyDescent="0.25">
      <c r="A268" s="1" t="s">
        <v>359</v>
      </c>
      <c r="B268" s="2">
        <v>45505</v>
      </c>
      <c r="C268" s="1" t="s">
        <v>58</v>
      </c>
      <c r="D268" s="1" t="s">
        <v>150</v>
      </c>
      <c r="E268" s="1" t="s">
        <v>129</v>
      </c>
      <c r="F268" s="1" t="s">
        <v>22</v>
      </c>
      <c r="G268" s="1" t="s">
        <v>40</v>
      </c>
      <c r="H268">
        <v>46</v>
      </c>
      <c r="I268" s="4">
        <v>1020.68</v>
      </c>
      <c r="J268" s="4">
        <v>46951.28</v>
      </c>
      <c r="K268" s="6">
        <v>15</v>
      </c>
      <c r="L268" s="4">
        <v>39908.589999999997</v>
      </c>
      <c r="M268" s="4">
        <v>17965.89</v>
      </c>
      <c r="N268" s="4">
        <v>21942.7</v>
      </c>
      <c r="O268" s="6">
        <v>54.98</v>
      </c>
      <c r="P268" s="1" t="s">
        <v>24</v>
      </c>
      <c r="Q268" s="1" t="s">
        <v>106</v>
      </c>
      <c r="R268" s="1" t="s">
        <v>26</v>
      </c>
    </row>
    <row r="269" spans="1:18" x14ac:dyDescent="0.25">
      <c r="A269" s="1" t="s">
        <v>223</v>
      </c>
      <c r="B269" s="2">
        <v>45024</v>
      </c>
      <c r="C269" s="1" t="s">
        <v>51</v>
      </c>
      <c r="D269" s="1" t="s">
        <v>52</v>
      </c>
      <c r="E269" s="1" t="s">
        <v>129</v>
      </c>
      <c r="F269" s="1" t="s">
        <v>54</v>
      </c>
      <c r="G269" s="1" t="s">
        <v>96</v>
      </c>
      <c r="H269">
        <v>22</v>
      </c>
      <c r="I269" s="4">
        <v>2094.44</v>
      </c>
      <c r="J269" s="4">
        <v>46077.68</v>
      </c>
      <c r="K269" s="6">
        <v>15</v>
      </c>
      <c r="L269" s="4">
        <v>39166.03</v>
      </c>
      <c r="M269" s="4">
        <v>20554.21</v>
      </c>
      <c r="N269" s="4">
        <v>18611.82</v>
      </c>
      <c r="O269" s="6">
        <v>47.52</v>
      </c>
      <c r="P269" s="1" t="s">
        <v>44</v>
      </c>
      <c r="Q269" s="1" t="s">
        <v>32</v>
      </c>
      <c r="R269" s="1" t="s">
        <v>26</v>
      </c>
    </row>
    <row r="270" spans="1:18" x14ac:dyDescent="0.25">
      <c r="A270" s="1" t="s">
        <v>215</v>
      </c>
      <c r="B270" s="2">
        <v>45168</v>
      </c>
      <c r="C270" s="1" t="s">
        <v>58</v>
      </c>
      <c r="D270" s="1" t="s">
        <v>119</v>
      </c>
      <c r="E270" s="1" t="s">
        <v>76</v>
      </c>
      <c r="F270" s="1" t="s">
        <v>54</v>
      </c>
      <c r="G270" s="1" t="s">
        <v>55</v>
      </c>
      <c r="H270">
        <v>45</v>
      </c>
      <c r="I270" s="4">
        <v>1020.75</v>
      </c>
      <c r="J270" s="4">
        <v>45933.75</v>
      </c>
      <c r="K270" s="6">
        <v>15</v>
      </c>
      <c r="L270" s="4">
        <v>39043.69</v>
      </c>
      <c r="M270" s="4">
        <v>20826.25</v>
      </c>
      <c r="N270" s="4">
        <v>18217.439999999999</v>
      </c>
      <c r="O270" s="6">
        <v>46.66</v>
      </c>
      <c r="P270" s="1" t="s">
        <v>44</v>
      </c>
      <c r="Q270" s="1" t="s">
        <v>56</v>
      </c>
      <c r="R270" s="1" t="s">
        <v>26</v>
      </c>
    </row>
    <row r="271" spans="1:18" x14ac:dyDescent="0.25">
      <c r="A271" s="1" t="s">
        <v>600</v>
      </c>
      <c r="B271" s="2">
        <v>45432</v>
      </c>
      <c r="C271" s="1" t="s">
        <v>34</v>
      </c>
      <c r="D271" s="1" t="s">
        <v>35</v>
      </c>
      <c r="E271" s="1" t="s">
        <v>72</v>
      </c>
      <c r="F271" s="1" t="s">
        <v>54</v>
      </c>
      <c r="G271" s="1" t="s">
        <v>99</v>
      </c>
      <c r="H271">
        <v>32</v>
      </c>
      <c r="I271" s="4">
        <v>1427.23</v>
      </c>
      <c r="J271" s="4">
        <v>45671.360000000001</v>
      </c>
      <c r="K271" s="6">
        <v>0</v>
      </c>
      <c r="L271" s="4">
        <v>45671.360000000001</v>
      </c>
      <c r="M271" s="4">
        <v>26598.78</v>
      </c>
      <c r="N271" s="4">
        <v>19072.580000000002</v>
      </c>
      <c r="O271" s="6">
        <v>41.76</v>
      </c>
      <c r="P271" s="1" t="s">
        <v>49</v>
      </c>
      <c r="Q271" s="1" t="s">
        <v>106</v>
      </c>
      <c r="R271" s="1" t="s">
        <v>26</v>
      </c>
    </row>
    <row r="272" spans="1:18" x14ac:dyDescent="0.25">
      <c r="A272" s="1" t="s">
        <v>494</v>
      </c>
      <c r="B272" s="2">
        <v>45106</v>
      </c>
      <c r="C272" s="1" t="s">
        <v>51</v>
      </c>
      <c r="D272" s="1" t="s">
        <v>84</v>
      </c>
      <c r="E272" s="1" t="s">
        <v>85</v>
      </c>
      <c r="F272" s="1" t="s">
        <v>54</v>
      </c>
      <c r="G272" s="1" t="s">
        <v>99</v>
      </c>
      <c r="H272">
        <v>23</v>
      </c>
      <c r="I272" s="4">
        <v>1970.7</v>
      </c>
      <c r="J272" s="4">
        <v>45326.1</v>
      </c>
      <c r="K272" s="6">
        <v>15</v>
      </c>
      <c r="L272" s="4">
        <v>38527.18</v>
      </c>
      <c r="M272" s="4">
        <v>21787.18</v>
      </c>
      <c r="N272" s="4">
        <v>16740</v>
      </c>
      <c r="O272" s="6">
        <v>43.45</v>
      </c>
      <c r="P272" s="1" t="s">
        <v>31</v>
      </c>
      <c r="Q272" s="1" t="s">
        <v>56</v>
      </c>
      <c r="R272" s="1" t="s">
        <v>26</v>
      </c>
    </row>
    <row r="273" spans="1:18" x14ac:dyDescent="0.25">
      <c r="A273" s="1" t="s">
        <v>443</v>
      </c>
      <c r="B273" s="2">
        <v>45247</v>
      </c>
      <c r="C273" s="1" t="s">
        <v>58</v>
      </c>
      <c r="D273" s="1" t="s">
        <v>126</v>
      </c>
      <c r="E273" s="1" t="s">
        <v>42</v>
      </c>
      <c r="F273" s="1" t="s">
        <v>47</v>
      </c>
      <c r="G273" s="1" t="s">
        <v>127</v>
      </c>
      <c r="H273">
        <v>6</v>
      </c>
      <c r="I273" s="4">
        <v>7493.06</v>
      </c>
      <c r="J273" s="4">
        <v>44958.36</v>
      </c>
      <c r="K273" s="6">
        <v>25</v>
      </c>
      <c r="L273" s="4">
        <v>33718.769999999997</v>
      </c>
      <c r="M273" s="4">
        <v>23468</v>
      </c>
      <c r="N273" s="4">
        <v>10250.77</v>
      </c>
      <c r="O273" s="6">
        <v>30.4</v>
      </c>
      <c r="P273" s="1" t="s">
        <v>24</v>
      </c>
      <c r="Q273" s="1" t="s">
        <v>56</v>
      </c>
      <c r="R273" s="1" t="s">
        <v>26</v>
      </c>
    </row>
    <row r="274" spans="1:18" x14ac:dyDescent="0.25">
      <c r="A274" s="1" t="s">
        <v>210</v>
      </c>
      <c r="B274" s="2">
        <v>45071</v>
      </c>
      <c r="C274" s="1" t="s">
        <v>51</v>
      </c>
      <c r="D274" s="1" t="s">
        <v>84</v>
      </c>
      <c r="E274" s="1" t="s">
        <v>65</v>
      </c>
      <c r="F274" s="1" t="s">
        <v>54</v>
      </c>
      <c r="G274" s="1" t="s">
        <v>55</v>
      </c>
      <c r="H274">
        <v>22</v>
      </c>
      <c r="I274" s="4">
        <v>2039.95</v>
      </c>
      <c r="J274" s="4">
        <v>44878.9</v>
      </c>
      <c r="K274" s="6">
        <v>15</v>
      </c>
      <c r="L274" s="4">
        <v>38147.07</v>
      </c>
      <c r="M274" s="4">
        <v>26278.3</v>
      </c>
      <c r="N274" s="4">
        <v>11868.77</v>
      </c>
      <c r="O274" s="6">
        <v>31.11</v>
      </c>
      <c r="P274" s="1" t="s">
        <v>49</v>
      </c>
      <c r="Q274" s="1" t="s">
        <v>63</v>
      </c>
      <c r="R274" s="1" t="s">
        <v>26</v>
      </c>
    </row>
    <row r="275" spans="1:18" x14ac:dyDescent="0.25">
      <c r="A275" s="1" t="s">
        <v>165</v>
      </c>
      <c r="B275" s="2">
        <v>44956</v>
      </c>
      <c r="C275" s="1" t="s">
        <v>19</v>
      </c>
      <c r="D275" s="1" t="s">
        <v>166</v>
      </c>
      <c r="E275" s="1" t="s">
        <v>42</v>
      </c>
      <c r="F275" s="1" t="s">
        <v>54</v>
      </c>
      <c r="G275" s="1" t="s">
        <v>96</v>
      </c>
      <c r="H275">
        <v>30</v>
      </c>
      <c r="I275" s="4">
        <v>1489.15</v>
      </c>
      <c r="J275" s="4">
        <v>44674.5</v>
      </c>
      <c r="K275" s="6">
        <v>25</v>
      </c>
      <c r="L275" s="4">
        <v>33505.879999999997</v>
      </c>
      <c r="M275" s="4">
        <v>17211.86</v>
      </c>
      <c r="N275" s="4">
        <v>16294.02</v>
      </c>
      <c r="O275" s="6">
        <v>48.63</v>
      </c>
      <c r="P275" s="1" t="s">
        <v>62</v>
      </c>
      <c r="Q275" s="1" t="s">
        <v>38</v>
      </c>
      <c r="R275" s="1" t="s">
        <v>26</v>
      </c>
    </row>
    <row r="276" spans="1:18" x14ac:dyDescent="0.25">
      <c r="A276" s="1" t="s">
        <v>268</v>
      </c>
      <c r="B276" s="2">
        <v>45248</v>
      </c>
      <c r="C276" s="1" t="s">
        <v>58</v>
      </c>
      <c r="D276" s="1" t="s">
        <v>59</v>
      </c>
      <c r="E276" s="1" t="s">
        <v>42</v>
      </c>
      <c r="F276" s="1" t="s">
        <v>47</v>
      </c>
      <c r="G276" s="1" t="s">
        <v>77</v>
      </c>
      <c r="H276">
        <v>5</v>
      </c>
      <c r="I276" s="4">
        <v>8757.9500000000007</v>
      </c>
      <c r="J276" s="4">
        <v>43789.75</v>
      </c>
      <c r="K276" s="6">
        <v>20</v>
      </c>
      <c r="L276" s="4">
        <v>35031.800000000003</v>
      </c>
      <c r="M276" s="4">
        <v>17869.2</v>
      </c>
      <c r="N276" s="4">
        <v>17162.599999999999</v>
      </c>
      <c r="O276" s="6">
        <v>48.99</v>
      </c>
      <c r="P276" s="1" t="s">
        <v>44</v>
      </c>
      <c r="Q276" s="1" t="s">
        <v>106</v>
      </c>
      <c r="R276" s="1" t="s">
        <v>26</v>
      </c>
    </row>
    <row r="277" spans="1:18" x14ac:dyDescent="0.25">
      <c r="A277" s="1" t="s">
        <v>556</v>
      </c>
      <c r="B277" s="2">
        <v>45470</v>
      </c>
      <c r="C277" s="1" t="s">
        <v>34</v>
      </c>
      <c r="D277" s="1" t="s">
        <v>172</v>
      </c>
      <c r="E277" s="1" t="s">
        <v>139</v>
      </c>
      <c r="F277" s="1" t="s">
        <v>22</v>
      </c>
      <c r="G277" s="1" t="s">
        <v>40</v>
      </c>
      <c r="H277">
        <v>39</v>
      </c>
      <c r="I277" s="4">
        <v>1104.21</v>
      </c>
      <c r="J277" s="4">
        <v>43064.19</v>
      </c>
      <c r="K277" s="6">
        <v>20</v>
      </c>
      <c r="L277" s="4">
        <v>34451.35</v>
      </c>
      <c r="M277" s="4">
        <v>15437.75</v>
      </c>
      <c r="N277" s="4">
        <v>19013.599999999999</v>
      </c>
      <c r="O277" s="6">
        <v>55.19</v>
      </c>
      <c r="P277" s="1" t="s">
        <v>49</v>
      </c>
      <c r="Q277" s="1" t="s">
        <v>32</v>
      </c>
      <c r="R277" s="1" t="s">
        <v>26</v>
      </c>
    </row>
    <row r="278" spans="1:18" x14ac:dyDescent="0.25">
      <c r="A278" s="1" t="s">
        <v>613</v>
      </c>
      <c r="B278" s="2">
        <v>45242</v>
      </c>
      <c r="C278" s="1" t="s">
        <v>19</v>
      </c>
      <c r="D278" s="1" t="s">
        <v>166</v>
      </c>
      <c r="E278" s="1" t="s">
        <v>104</v>
      </c>
      <c r="F278" s="1" t="s">
        <v>54</v>
      </c>
      <c r="G278" s="1" t="s">
        <v>102</v>
      </c>
      <c r="H278">
        <v>39</v>
      </c>
      <c r="I278" s="4">
        <v>1065.48</v>
      </c>
      <c r="J278" s="4">
        <v>41553.72</v>
      </c>
      <c r="K278" s="6">
        <v>20</v>
      </c>
      <c r="L278" s="4">
        <v>33242.980000000003</v>
      </c>
      <c r="M278" s="4">
        <v>14462.47</v>
      </c>
      <c r="N278" s="4">
        <v>18780.509999999998</v>
      </c>
      <c r="O278" s="6">
        <v>56.49</v>
      </c>
      <c r="P278" s="1" t="s">
        <v>44</v>
      </c>
      <c r="Q278" s="1" t="s">
        <v>63</v>
      </c>
      <c r="R278" s="1" t="s">
        <v>180</v>
      </c>
    </row>
    <row r="279" spans="1:18" x14ac:dyDescent="0.25">
      <c r="A279" s="1" t="s">
        <v>83</v>
      </c>
      <c r="B279" s="2">
        <v>45273</v>
      </c>
      <c r="C279" s="1" t="s">
        <v>51</v>
      </c>
      <c r="D279" s="1" t="s">
        <v>84</v>
      </c>
      <c r="E279" s="1" t="s">
        <v>85</v>
      </c>
      <c r="F279" s="1" t="s">
        <v>54</v>
      </c>
      <c r="G279" s="1" t="s">
        <v>86</v>
      </c>
      <c r="H279">
        <v>34</v>
      </c>
      <c r="I279" s="4">
        <v>1210.99</v>
      </c>
      <c r="J279" s="4">
        <v>41173.660000000003</v>
      </c>
      <c r="K279" s="6">
        <v>5</v>
      </c>
      <c r="L279" s="4">
        <v>39114.980000000003</v>
      </c>
      <c r="M279" s="4">
        <v>18282.7</v>
      </c>
      <c r="N279" s="4">
        <v>20832.28</v>
      </c>
      <c r="O279" s="6">
        <v>53.26</v>
      </c>
      <c r="P279" s="1" t="s">
        <v>24</v>
      </c>
      <c r="Q279" s="1" t="s">
        <v>25</v>
      </c>
      <c r="R279" s="1" t="s">
        <v>26</v>
      </c>
    </row>
    <row r="280" spans="1:18" x14ac:dyDescent="0.25">
      <c r="A280" s="1" t="s">
        <v>122</v>
      </c>
      <c r="B280" s="2">
        <v>45609</v>
      </c>
      <c r="C280" s="1" t="s">
        <v>51</v>
      </c>
      <c r="D280" s="1" t="s">
        <v>88</v>
      </c>
      <c r="E280" s="1" t="s">
        <v>53</v>
      </c>
      <c r="F280" s="1" t="s">
        <v>47</v>
      </c>
      <c r="G280" s="1" t="s">
        <v>48</v>
      </c>
      <c r="H280">
        <v>3</v>
      </c>
      <c r="I280" s="4">
        <v>13519.25</v>
      </c>
      <c r="J280" s="4">
        <v>40557.75</v>
      </c>
      <c r="K280" s="6">
        <v>5</v>
      </c>
      <c r="L280" s="4">
        <v>38529.86</v>
      </c>
      <c r="M280" s="4">
        <v>23295.919999999998</v>
      </c>
      <c r="N280" s="4">
        <v>15233.94</v>
      </c>
      <c r="O280" s="6">
        <v>39.54</v>
      </c>
      <c r="P280" s="1" t="s">
        <v>24</v>
      </c>
      <c r="Q280" s="1" t="s">
        <v>38</v>
      </c>
      <c r="R280" s="1" t="s">
        <v>26</v>
      </c>
    </row>
    <row r="281" spans="1:18" x14ac:dyDescent="0.25">
      <c r="A281" s="1" t="s">
        <v>506</v>
      </c>
      <c r="B281" s="2">
        <v>44997</v>
      </c>
      <c r="C281" s="1" t="s">
        <v>51</v>
      </c>
      <c r="D281" s="1" t="s">
        <v>91</v>
      </c>
      <c r="E281" s="1" t="s">
        <v>80</v>
      </c>
      <c r="F281" s="1" t="s">
        <v>22</v>
      </c>
      <c r="G281" s="1" t="s">
        <v>23</v>
      </c>
      <c r="H281">
        <v>47</v>
      </c>
      <c r="I281" s="4">
        <v>847.86</v>
      </c>
      <c r="J281" s="4">
        <v>39849.42</v>
      </c>
      <c r="K281" s="6">
        <v>15</v>
      </c>
      <c r="L281" s="4">
        <v>33872.01</v>
      </c>
      <c r="M281" s="4">
        <v>19610.54</v>
      </c>
      <c r="N281" s="4">
        <v>14261.47</v>
      </c>
      <c r="O281" s="6">
        <v>42.1</v>
      </c>
      <c r="P281" s="1" t="s">
        <v>49</v>
      </c>
      <c r="Q281" s="1" t="s">
        <v>32</v>
      </c>
      <c r="R281" s="1" t="s">
        <v>26</v>
      </c>
    </row>
    <row r="282" spans="1:18" x14ac:dyDescent="0.25">
      <c r="A282" s="1" t="s">
        <v>330</v>
      </c>
      <c r="B282" s="2">
        <v>45313</v>
      </c>
      <c r="C282" s="1" t="s">
        <v>51</v>
      </c>
      <c r="D282" s="1" t="s">
        <v>84</v>
      </c>
      <c r="E282" s="1" t="s">
        <v>112</v>
      </c>
      <c r="F282" s="1" t="s">
        <v>22</v>
      </c>
      <c r="G282" s="1" t="s">
        <v>94</v>
      </c>
      <c r="H282">
        <v>42</v>
      </c>
      <c r="I282" s="4">
        <v>930.74</v>
      </c>
      <c r="J282" s="4">
        <v>39091.08</v>
      </c>
      <c r="K282" s="6">
        <v>0</v>
      </c>
      <c r="L282" s="4">
        <v>39091.08</v>
      </c>
      <c r="M282" s="4">
        <v>20389.259999999998</v>
      </c>
      <c r="N282" s="4">
        <v>18701.82</v>
      </c>
      <c r="O282" s="6">
        <v>47.84</v>
      </c>
      <c r="P282" s="1" t="s">
        <v>31</v>
      </c>
      <c r="Q282" s="1" t="s">
        <v>32</v>
      </c>
      <c r="R282" s="1" t="s">
        <v>26</v>
      </c>
    </row>
    <row r="283" spans="1:18" x14ac:dyDescent="0.25">
      <c r="A283" s="1" t="s">
        <v>482</v>
      </c>
      <c r="B283" s="2">
        <v>45310</v>
      </c>
      <c r="C283" s="1" t="s">
        <v>58</v>
      </c>
      <c r="D283" s="1" t="s">
        <v>79</v>
      </c>
      <c r="E283" s="1" t="s">
        <v>28</v>
      </c>
      <c r="F283" s="1" t="s">
        <v>54</v>
      </c>
      <c r="G283" s="1" t="s">
        <v>55</v>
      </c>
      <c r="H283">
        <v>47</v>
      </c>
      <c r="I283" s="4">
        <v>814.65</v>
      </c>
      <c r="J283" s="4">
        <v>38288.550000000003</v>
      </c>
      <c r="K283" s="6">
        <v>20</v>
      </c>
      <c r="L283" s="4">
        <v>30630.84</v>
      </c>
      <c r="M283" s="4">
        <v>19806.900000000001</v>
      </c>
      <c r="N283" s="4">
        <v>10823.94</v>
      </c>
      <c r="O283" s="6">
        <v>35.340000000000003</v>
      </c>
      <c r="P283" s="1" t="s">
        <v>31</v>
      </c>
      <c r="Q283" s="1" t="s">
        <v>25</v>
      </c>
      <c r="R283" s="1" t="s">
        <v>26</v>
      </c>
    </row>
    <row r="284" spans="1:18" x14ac:dyDescent="0.25">
      <c r="A284" s="1" t="s">
        <v>618</v>
      </c>
      <c r="B284" s="2">
        <v>45472</v>
      </c>
      <c r="C284" s="1" t="s">
        <v>34</v>
      </c>
      <c r="D284" s="1" t="s">
        <v>35</v>
      </c>
      <c r="E284" s="1" t="s">
        <v>112</v>
      </c>
      <c r="F284" s="1" t="s">
        <v>81</v>
      </c>
      <c r="G284" s="1" t="s">
        <v>186</v>
      </c>
      <c r="H284">
        <v>14</v>
      </c>
      <c r="I284" s="4">
        <v>2702.87</v>
      </c>
      <c r="J284" s="4">
        <v>37840.18</v>
      </c>
      <c r="K284" s="6">
        <v>5</v>
      </c>
      <c r="L284" s="4">
        <v>35948.17</v>
      </c>
      <c r="M284" s="4">
        <v>17469.740000000002</v>
      </c>
      <c r="N284" s="4">
        <v>18478.43</v>
      </c>
      <c r="O284" s="6">
        <v>51.4</v>
      </c>
      <c r="P284" s="1" t="s">
        <v>44</v>
      </c>
      <c r="Q284" s="1" t="s">
        <v>32</v>
      </c>
      <c r="R284" s="1" t="s">
        <v>26</v>
      </c>
    </row>
    <row r="285" spans="1:18" x14ac:dyDescent="0.25">
      <c r="A285" s="1" t="s">
        <v>206</v>
      </c>
      <c r="B285" s="2">
        <v>45643</v>
      </c>
      <c r="C285" s="1" t="s">
        <v>51</v>
      </c>
      <c r="D285" s="1" t="s">
        <v>52</v>
      </c>
      <c r="E285" s="1" t="s">
        <v>21</v>
      </c>
      <c r="F285" s="1" t="s">
        <v>54</v>
      </c>
      <c r="G285" s="1" t="s">
        <v>136</v>
      </c>
      <c r="H285">
        <v>25</v>
      </c>
      <c r="I285" s="4">
        <v>1494.02</v>
      </c>
      <c r="J285" s="4">
        <v>37350.5</v>
      </c>
      <c r="K285" s="6">
        <v>20</v>
      </c>
      <c r="L285" s="4">
        <v>29880.400000000001</v>
      </c>
      <c r="M285" s="4">
        <v>14604.4</v>
      </c>
      <c r="N285" s="4">
        <v>15276</v>
      </c>
      <c r="O285" s="6">
        <v>51.12</v>
      </c>
      <c r="P285" s="1" t="s">
        <v>44</v>
      </c>
      <c r="Q285" s="1" t="s">
        <v>56</v>
      </c>
      <c r="R285" s="1" t="s">
        <v>26</v>
      </c>
    </row>
    <row r="286" spans="1:18" x14ac:dyDescent="0.25">
      <c r="A286" s="1" t="s">
        <v>475</v>
      </c>
      <c r="B286" s="2">
        <v>45317</v>
      </c>
      <c r="C286" s="1" t="s">
        <v>51</v>
      </c>
      <c r="D286" s="1" t="s">
        <v>91</v>
      </c>
      <c r="E286" s="1" t="s">
        <v>28</v>
      </c>
      <c r="F286" s="1" t="s">
        <v>54</v>
      </c>
      <c r="G286" s="1" t="s">
        <v>96</v>
      </c>
      <c r="H286">
        <v>45</v>
      </c>
      <c r="I286" s="4">
        <v>825.95</v>
      </c>
      <c r="J286" s="4">
        <v>37167.75</v>
      </c>
      <c r="K286" s="6">
        <v>25</v>
      </c>
      <c r="L286" s="4">
        <v>27875.81</v>
      </c>
      <c r="M286" s="4">
        <v>11543.2</v>
      </c>
      <c r="N286" s="4">
        <v>16332.61</v>
      </c>
      <c r="O286" s="6">
        <v>58.59</v>
      </c>
      <c r="P286" s="1" t="s">
        <v>62</v>
      </c>
      <c r="Q286" s="1" t="s">
        <v>32</v>
      </c>
      <c r="R286" s="1" t="s">
        <v>26</v>
      </c>
    </row>
    <row r="287" spans="1:18" x14ac:dyDescent="0.25">
      <c r="A287" s="1" t="s">
        <v>414</v>
      </c>
      <c r="B287" s="2">
        <v>45091</v>
      </c>
      <c r="C287" s="1" t="s">
        <v>19</v>
      </c>
      <c r="D287" s="1" t="s">
        <v>166</v>
      </c>
      <c r="E287" s="1" t="s">
        <v>139</v>
      </c>
      <c r="F287" s="1" t="s">
        <v>60</v>
      </c>
      <c r="G287" s="1" t="s">
        <v>347</v>
      </c>
      <c r="H287">
        <v>7</v>
      </c>
      <c r="I287" s="4">
        <v>5192.66</v>
      </c>
      <c r="J287" s="4">
        <v>36348.620000000003</v>
      </c>
      <c r="K287" s="6">
        <v>5</v>
      </c>
      <c r="L287" s="4">
        <v>34531.19</v>
      </c>
      <c r="M287" s="4">
        <v>23010.87</v>
      </c>
      <c r="N287" s="4">
        <v>11520.32</v>
      </c>
      <c r="O287" s="6">
        <v>33.36</v>
      </c>
      <c r="P287" s="1" t="s">
        <v>24</v>
      </c>
      <c r="Q287" s="1" t="s">
        <v>25</v>
      </c>
      <c r="R287" s="1" t="s">
        <v>26</v>
      </c>
    </row>
    <row r="288" spans="1:18" x14ac:dyDescent="0.25">
      <c r="A288" s="1" t="s">
        <v>199</v>
      </c>
      <c r="B288" s="2">
        <v>44963</v>
      </c>
      <c r="C288" s="1" t="s">
        <v>19</v>
      </c>
      <c r="D288" s="1" t="s">
        <v>166</v>
      </c>
      <c r="E288" s="1" t="s">
        <v>36</v>
      </c>
      <c r="F288" s="1" t="s">
        <v>22</v>
      </c>
      <c r="G288" s="1" t="s">
        <v>117</v>
      </c>
      <c r="H288">
        <v>41</v>
      </c>
      <c r="I288" s="4">
        <v>884.96</v>
      </c>
      <c r="J288" s="4">
        <v>36283.360000000001</v>
      </c>
      <c r="K288" s="6">
        <v>15</v>
      </c>
      <c r="L288" s="4">
        <v>30840.86</v>
      </c>
      <c r="M288" s="4">
        <v>20407.86</v>
      </c>
      <c r="N288" s="4">
        <v>10433</v>
      </c>
      <c r="O288" s="6">
        <v>33.83</v>
      </c>
      <c r="P288" s="1" t="s">
        <v>31</v>
      </c>
      <c r="Q288" s="1" t="s">
        <v>56</v>
      </c>
      <c r="R288" s="1" t="s">
        <v>26</v>
      </c>
    </row>
    <row r="289" spans="1:18" x14ac:dyDescent="0.25">
      <c r="A289" s="1" t="s">
        <v>365</v>
      </c>
      <c r="B289" s="2">
        <v>45180</v>
      </c>
      <c r="C289" s="1" t="s">
        <v>58</v>
      </c>
      <c r="D289" s="1" t="s">
        <v>79</v>
      </c>
      <c r="E289" s="1" t="s">
        <v>65</v>
      </c>
      <c r="F289" s="1" t="s">
        <v>47</v>
      </c>
      <c r="G289" s="1" t="s">
        <v>127</v>
      </c>
      <c r="H289">
        <v>9</v>
      </c>
      <c r="I289" s="4">
        <v>4007.77</v>
      </c>
      <c r="J289" s="4">
        <v>36069.93</v>
      </c>
      <c r="K289" s="6">
        <v>25</v>
      </c>
      <c r="L289" s="4">
        <v>27052.45</v>
      </c>
      <c r="M289" s="4">
        <v>13435.03</v>
      </c>
      <c r="N289" s="4">
        <v>13617.42</v>
      </c>
      <c r="O289" s="6">
        <v>50.34</v>
      </c>
      <c r="P289" s="1" t="s">
        <v>62</v>
      </c>
      <c r="Q289" s="1" t="s">
        <v>32</v>
      </c>
      <c r="R289" s="1" t="s">
        <v>26</v>
      </c>
    </row>
    <row r="290" spans="1:18" x14ac:dyDescent="0.25">
      <c r="A290" s="1" t="s">
        <v>419</v>
      </c>
      <c r="B290" s="2">
        <v>45202</v>
      </c>
      <c r="C290" s="1" t="s">
        <v>58</v>
      </c>
      <c r="D290" s="1" t="s">
        <v>59</v>
      </c>
      <c r="E290" s="1" t="s">
        <v>76</v>
      </c>
      <c r="F290" s="1" t="s">
        <v>29</v>
      </c>
      <c r="G290" s="1" t="s">
        <v>157</v>
      </c>
      <c r="H290">
        <v>17</v>
      </c>
      <c r="I290" s="4">
        <v>2118.9</v>
      </c>
      <c r="J290" s="4">
        <v>36021.300000000003</v>
      </c>
      <c r="K290" s="6">
        <v>10</v>
      </c>
      <c r="L290" s="4">
        <v>32419.17</v>
      </c>
      <c r="M290" s="4">
        <v>15168.04</v>
      </c>
      <c r="N290" s="4">
        <v>17251.13</v>
      </c>
      <c r="O290" s="6">
        <v>53.21</v>
      </c>
      <c r="P290" s="1" t="s">
        <v>31</v>
      </c>
      <c r="Q290" s="1" t="s">
        <v>56</v>
      </c>
      <c r="R290" s="1" t="s">
        <v>26</v>
      </c>
    </row>
    <row r="291" spans="1:18" x14ac:dyDescent="0.25">
      <c r="A291" s="1" t="s">
        <v>135</v>
      </c>
      <c r="B291" s="2">
        <v>45234</v>
      </c>
      <c r="C291" s="1" t="s">
        <v>51</v>
      </c>
      <c r="D291" s="1" t="s">
        <v>84</v>
      </c>
      <c r="E291" s="1" t="s">
        <v>112</v>
      </c>
      <c r="F291" s="1" t="s">
        <v>54</v>
      </c>
      <c r="G291" s="1" t="s">
        <v>136</v>
      </c>
      <c r="H291">
        <v>22</v>
      </c>
      <c r="I291" s="4">
        <v>1614.42</v>
      </c>
      <c r="J291" s="4">
        <v>35517.24</v>
      </c>
      <c r="K291" s="6">
        <v>25</v>
      </c>
      <c r="L291" s="4">
        <v>26637.93</v>
      </c>
      <c r="M291" s="4">
        <v>17431.98</v>
      </c>
      <c r="N291" s="4">
        <v>9205.9500000000007</v>
      </c>
      <c r="O291" s="6">
        <v>34.56</v>
      </c>
      <c r="P291" s="1" t="s">
        <v>31</v>
      </c>
      <c r="Q291" s="1" t="s">
        <v>38</v>
      </c>
      <c r="R291" s="1" t="s">
        <v>26</v>
      </c>
    </row>
    <row r="292" spans="1:18" x14ac:dyDescent="0.25">
      <c r="A292" s="1" t="s">
        <v>321</v>
      </c>
      <c r="B292" s="2">
        <v>45242</v>
      </c>
      <c r="C292" s="1" t="s">
        <v>51</v>
      </c>
      <c r="D292" s="1" t="s">
        <v>52</v>
      </c>
      <c r="E292" s="1" t="s">
        <v>42</v>
      </c>
      <c r="F292" s="1" t="s">
        <v>29</v>
      </c>
      <c r="G292" s="1" t="s">
        <v>322</v>
      </c>
      <c r="H292">
        <v>19</v>
      </c>
      <c r="I292" s="4">
        <v>1867.81</v>
      </c>
      <c r="J292" s="4">
        <v>35488.39</v>
      </c>
      <c r="K292" s="6">
        <v>20</v>
      </c>
      <c r="L292" s="4">
        <v>28390.71</v>
      </c>
      <c r="M292" s="4">
        <v>16881.580000000002</v>
      </c>
      <c r="N292" s="4">
        <v>11509.13</v>
      </c>
      <c r="O292" s="6">
        <v>40.54</v>
      </c>
      <c r="P292" s="1" t="s">
        <v>44</v>
      </c>
      <c r="Q292" s="1" t="s">
        <v>38</v>
      </c>
      <c r="R292" s="1" t="s">
        <v>26</v>
      </c>
    </row>
    <row r="293" spans="1:18" x14ac:dyDescent="0.25">
      <c r="A293" s="1" t="s">
        <v>304</v>
      </c>
      <c r="B293" s="2">
        <v>45547</v>
      </c>
      <c r="C293" s="1" t="s">
        <v>34</v>
      </c>
      <c r="D293" s="1" t="s">
        <v>172</v>
      </c>
      <c r="E293" s="1" t="s">
        <v>21</v>
      </c>
      <c r="F293" s="1" t="s">
        <v>81</v>
      </c>
      <c r="G293" s="1" t="s">
        <v>110</v>
      </c>
      <c r="H293">
        <v>9</v>
      </c>
      <c r="I293" s="4">
        <v>3929.82</v>
      </c>
      <c r="J293" s="4">
        <v>35368.379999999997</v>
      </c>
      <c r="K293" s="6">
        <v>15</v>
      </c>
      <c r="L293" s="4">
        <v>30063.119999999999</v>
      </c>
      <c r="M293" s="4">
        <v>18769.02</v>
      </c>
      <c r="N293" s="4">
        <v>11294.1</v>
      </c>
      <c r="O293" s="6">
        <v>37.57</v>
      </c>
      <c r="P293" s="1" t="s">
        <v>44</v>
      </c>
      <c r="Q293" s="1" t="s">
        <v>32</v>
      </c>
      <c r="R293" s="1" t="s">
        <v>26</v>
      </c>
    </row>
    <row r="294" spans="1:18" x14ac:dyDescent="0.25">
      <c r="A294" s="1" t="s">
        <v>318</v>
      </c>
      <c r="B294" s="2">
        <v>45387</v>
      </c>
      <c r="C294" s="1" t="s">
        <v>58</v>
      </c>
      <c r="D294" s="1" t="s">
        <v>119</v>
      </c>
      <c r="E294" s="1" t="s">
        <v>129</v>
      </c>
      <c r="F294" s="1" t="s">
        <v>81</v>
      </c>
      <c r="G294" s="1" t="s">
        <v>82</v>
      </c>
      <c r="H294">
        <v>16</v>
      </c>
      <c r="I294" s="4">
        <v>2188.9699999999998</v>
      </c>
      <c r="J294" s="4">
        <v>35023.519999999997</v>
      </c>
      <c r="K294" s="6">
        <v>10</v>
      </c>
      <c r="L294" s="4">
        <v>31521.17</v>
      </c>
      <c r="M294" s="4">
        <v>18723.95</v>
      </c>
      <c r="N294" s="4">
        <v>12797.22</v>
      </c>
      <c r="O294" s="6">
        <v>40.6</v>
      </c>
      <c r="P294" s="1" t="s">
        <v>44</v>
      </c>
      <c r="Q294" s="1" t="s">
        <v>56</v>
      </c>
      <c r="R294" s="1" t="s">
        <v>26</v>
      </c>
    </row>
    <row r="295" spans="1:18" x14ac:dyDescent="0.25">
      <c r="A295" s="1" t="s">
        <v>558</v>
      </c>
      <c r="B295" s="2">
        <v>45436</v>
      </c>
      <c r="C295" s="1" t="s">
        <v>51</v>
      </c>
      <c r="D295" s="1" t="s">
        <v>84</v>
      </c>
      <c r="E295" s="1" t="s">
        <v>112</v>
      </c>
      <c r="F295" s="1" t="s">
        <v>22</v>
      </c>
      <c r="G295" s="1" t="s">
        <v>94</v>
      </c>
      <c r="H295">
        <v>35</v>
      </c>
      <c r="I295" s="4">
        <v>997.34</v>
      </c>
      <c r="J295" s="4">
        <v>34906.9</v>
      </c>
      <c r="K295" s="6">
        <v>5</v>
      </c>
      <c r="L295" s="4">
        <v>33161.56</v>
      </c>
      <c r="M295" s="4">
        <v>18478.32</v>
      </c>
      <c r="N295" s="4">
        <v>14683.24</v>
      </c>
      <c r="O295" s="6">
        <v>44.28</v>
      </c>
      <c r="P295" s="1" t="s">
        <v>31</v>
      </c>
      <c r="Q295" s="1" t="s">
        <v>106</v>
      </c>
      <c r="R295" s="1" t="s">
        <v>26</v>
      </c>
    </row>
    <row r="296" spans="1:18" x14ac:dyDescent="0.25">
      <c r="A296" s="1" t="s">
        <v>279</v>
      </c>
      <c r="B296" s="2">
        <v>45253</v>
      </c>
      <c r="C296" s="1" t="s">
        <v>58</v>
      </c>
      <c r="D296" s="1" t="s">
        <v>150</v>
      </c>
      <c r="E296" s="1" t="s">
        <v>21</v>
      </c>
      <c r="F296" s="1" t="s">
        <v>54</v>
      </c>
      <c r="G296" s="1" t="s">
        <v>99</v>
      </c>
      <c r="H296">
        <v>22</v>
      </c>
      <c r="I296" s="4">
        <v>1575.65</v>
      </c>
      <c r="J296" s="4">
        <v>34664.300000000003</v>
      </c>
      <c r="K296" s="6">
        <v>10</v>
      </c>
      <c r="L296" s="4">
        <v>31197.87</v>
      </c>
      <c r="M296" s="4">
        <v>20542.099999999999</v>
      </c>
      <c r="N296" s="4">
        <v>10655.77</v>
      </c>
      <c r="O296" s="6">
        <v>34.159999999999997</v>
      </c>
      <c r="P296" s="1" t="s">
        <v>44</v>
      </c>
      <c r="Q296" s="1" t="s">
        <v>32</v>
      </c>
      <c r="R296" s="1" t="s">
        <v>26</v>
      </c>
    </row>
    <row r="297" spans="1:18" x14ac:dyDescent="0.25">
      <c r="A297" s="1" t="s">
        <v>574</v>
      </c>
      <c r="B297" s="2">
        <v>45065</v>
      </c>
      <c r="C297" s="1" t="s">
        <v>19</v>
      </c>
      <c r="D297" s="1" t="s">
        <v>75</v>
      </c>
      <c r="E297" s="1" t="s">
        <v>120</v>
      </c>
      <c r="F297" s="1" t="s">
        <v>54</v>
      </c>
      <c r="G297" s="1" t="s">
        <v>55</v>
      </c>
      <c r="H297">
        <v>26</v>
      </c>
      <c r="I297" s="4">
        <v>1329.28</v>
      </c>
      <c r="J297" s="4">
        <v>34561.279999999999</v>
      </c>
      <c r="K297" s="6">
        <v>25</v>
      </c>
      <c r="L297" s="4">
        <v>25920.959999999999</v>
      </c>
      <c r="M297" s="4">
        <v>11382.22</v>
      </c>
      <c r="N297" s="4">
        <v>14538.74</v>
      </c>
      <c r="O297" s="6">
        <v>56.09</v>
      </c>
      <c r="P297" s="1" t="s">
        <v>62</v>
      </c>
      <c r="Q297" s="1" t="s">
        <v>25</v>
      </c>
      <c r="R297" s="1" t="s">
        <v>26</v>
      </c>
    </row>
    <row r="298" spans="1:18" x14ac:dyDescent="0.25">
      <c r="A298" s="1" t="s">
        <v>328</v>
      </c>
      <c r="B298" s="2">
        <v>45110</v>
      </c>
      <c r="C298" s="1" t="s">
        <v>58</v>
      </c>
      <c r="D298" s="1" t="s">
        <v>79</v>
      </c>
      <c r="E298" s="1" t="s">
        <v>28</v>
      </c>
      <c r="F298" s="1" t="s">
        <v>60</v>
      </c>
      <c r="G298" s="1" t="s">
        <v>131</v>
      </c>
      <c r="H298">
        <v>19</v>
      </c>
      <c r="I298" s="4">
        <v>1814.84</v>
      </c>
      <c r="J298" s="4">
        <v>34481.96</v>
      </c>
      <c r="K298" s="6">
        <v>25</v>
      </c>
      <c r="L298" s="4">
        <v>25861.47</v>
      </c>
      <c r="M298" s="4">
        <v>15574.03</v>
      </c>
      <c r="N298" s="4">
        <v>10287.44</v>
      </c>
      <c r="O298" s="6">
        <v>39.78</v>
      </c>
      <c r="P298" s="1" t="s">
        <v>24</v>
      </c>
      <c r="Q298" s="1" t="s">
        <v>56</v>
      </c>
      <c r="R298" s="1" t="s">
        <v>26</v>
      </c>
    </row>
    <row r="299" spans="1:18" x14ac:dyDescent="0.25">
      <c r="A299" s="1" t="s">
        <v>440</v>
      </c>
      <c r="B299" s="2">
        <v>45270</v>
      </c>
      <c r="C299" s="1" t="s">
        <v>58</v>
      </c>
      <c r="D299" s="1" t="s">
        <v>126</v>
      </c>
      <c r="E299" s="1" t="s">
        <v>65</v>
      </c>
      <c r="F299" s="1" t="s">
        <v>22</v>
      </c>
      <c r="G299" s="1" t="s">
        <v>23</v>
      </c>
      <c r="H299">
        <v>36</v>
      </c>
      <c r="I299" s="4">
        <v>934.47</v>
      </c>
      <c r="J299" s="4">
        <v>33640.92</v>
      </c>
      <c r="K299" s="6">
        <v>5</v>
      </c>
      <c r="L299" s="4">
        <v>31958.87</v>
      </c>
      <c r="M299" s="4">
        <v>21862.33</v>
      </c>
      <c r="N299" s="4">
        <v>10096.540000000001</v>
      </c>
      <c r="O299" s="6">
        <v>31.59</v>
      </c>
      <c r="P299" s="1" t="s">
        <v>24</v>
      </c>
      <c r="Q299" s="1" t="s">
        <v>106</v>
      </c>
      <c r="R299" s="1" t="s">
        <v>26</v>
      </c>
    </row>
    <row r="300" spans="1:18" x14ac:dyDescent="0.25">
      <c r="A300" s="1" t="s">
        <v>474</v>
      </c>
      <c r="B300" s="2">
        <v>45031</v>
      </c>
      <c r="C300" s="1" t="s">
        <v>51</v>
      </c>
      <c r="D300" s="1" t="s">
        <v>88</v>
      </c>
      <c r="E300" s="1" t="s">
        <v>21</v>
      </c>
      <c r="F300" s="1" t="s">
        <v>22</v>
      </c>
      <c r="G300" s="1" t="s">
        <v>23</v>
      </c>
      <c r="H300">
        <v>49</v>
      </c>
      <c r="I300" s="4">
        <v>686.11</v>
      </c>
      <c r="J300" s="4">
        <v>33619.39</v>
      </c>
      <c r="K300" s="6">
        <v>10</v>
      </c>
      <c r="L300" s="4">
        <v>30257.45</v>
      </c>
      <c r="M300" s="4">
        <v>19492.09</v>
      </c>
      <c r="N300" s="4">
        <v>10765.36</v>
      </c>
      <c r="O300" s="6">
        <v>35.58</v>
      </c>
      <c r="P300" s="1" t="s">
        <v>31</v>
      </c>
      <c r="Q300" s="1" t="s">
        <v>63</v>
      </c>
      <c r="R300" s="1" t="s">
        <v>26</v>
      </c>
    </row>
    <row r="301" spans="1:18" x14ac:dyDescent="0.25">
      <c r="A301" s="1" t="s">
        <v>402</v>
      </c>
      <c r="B301" s="2">
        <v>45441</v>
      </c>
      <c r="C301" s="1" t="s">
        <v>19</v>
      </c>
      <c r="D301" s="1" t="s">
        <v>155</v>
      </c>
      <c r="E301" s="1" t="s">
        <v>85</v>
      </c>
      <c r="F301" s="1" t="s">
        <v>22</v>
      </c>
      <c r="G301" s="1" t="s">
        <v>170</v>
      </c>
      <c r="H301">
        <v>35</v>
      </c>
      <c r="I301" s="4">
        <v>955.21</v>
      </c>
      <c r="J301" s="4">
        <v>33432.35</v>
      </c>
      <c r="K301" s="6">
        <v>10</v>
      </c>
      <c r="L301" s="4">
        <v>30089.11</v>
      </c>
      <c r="M301" s="4">
        <v>20274.14</v>
      </c>
      <c r="N301" s="4">
        <v>9814.9699999999993</v>
      </c>
      <c r="O301" s="6">
        <v>32.619999999999997</v>
      </c>
      <c r="P301" s="1" t="s">
        <v>44</v>
      </c>
      <c r="Q301" s="1" t="s">
        <v>32</v>
      </c>
      <c r="R301" s="1" t="s">
        <v>26</v>
      </c>
    </row>
    <row r="302" spans="1:18" x14ac:dyDescent="0.25">
      <c r="A302" s="1" t="s">
        <v>164</v>
      </c>
      <c r="B302" s="2">
        <v>45533</v>
      </c>
      <c r="C302" s="1" t="s">
        <v>51</v>
      </c>
      <c r="D302" s="1" t="s">
        <v>91</v>
      </c>
      <c r="E302" s="1" t="s">
        <v>104</v>
      </c>
      <c r="F302" s="1" t="s">
        <v>22</v>
      </c>
      <c r="G302" s="1" t="s">
        <v>23</v>
      </c>
      <c r="H302">
        <v>35</v>
      </c>
      <c r="I302" s="4">
        <v>947.6</v>
      </c>
      <c r="J302" s="4">
        <v>33166</v>
      </c>
      <c r="K302" s="6">
        <v>15</v>
      </c>
      <c r="L302" s="4">
        <v>28191.1</v>
      </c>
      <c r="M302" s="4">
        <v>14960.24</v>
      </c>
      <c r="N302" s="4">
        <v>13230.86</v>
      </c>
      <c r="O302" s="6">
        <v>46.93</v>
      </c>
      <c r="P302" s="1" t="s">
        <v>44</v>
      </c>
      <c r="Q302" s="1" t="s">
        <v>38</v>
      </c>
      <c r="R302" s="1" t="s">
        <v>26</v>
      </c>
    </row>
    <row r="303" spans="1:18" x14ac:dyDescent="0.25">
      <c r="A303" s="1" t="s">
        <v>161</v>
      </c>
      <c r="B303" s="2">
        <v>45506</v>
      </c>
      <c r="C303" s="1" t="s">
        <v>51</v>
      </c>
      <c r="D303" s="1" t="s">
        <v>88</v>
      </c>
      <c r="E303" s="1" t="s">
        <v>72</v>
      </c>
      <c r="F303" s="1" t="s">
        <v>22</v>
      </c>
      <c r="G303" s="1" t="s">
        <v>23</v>
      </c>
      <c r="H303">
        <v>44</v>
      </c>
      <c r="I303" s="4">
        <v>752.46</v>
      </c>
      <c r="J303" s="4">
        <v>33108.239999999998</v>
      </c>
      <c r="K303" s="6">
        <v>0</v>
      </c>
      <c r="L303" s="4">
        <v>33108.239999999998</v>
      </c>
      <c r="M303" s="4">
        <v>21151.8</v>
      </c>
      <c r="N303" s="4">
        <v>11956.44</v>
      </c>
      <c r="O303" s="6">
        <v>36.11</v>
      </c>
      <c r="P303" s="1" t="s">
        <v>24</v>
      </c>
      <c r="Q303" s="1" t="s">
        <v>38</v>
      </c>
      <c r="R303" s="1" t="s">
        <v>26</v>
      </c>
    </row>
    <row r="304" spans="1:18" x14ac:dyDescent="0.25">
      <c r="A304" s="1" t="s">
        <v>266</v>
      </c>
      <c r="B304" s="2">
        <v>44958</v>
      </c>
      <c r="C304" s="1" t="s">
        <v>19</v>
      </c>
      <c r="D304" s="1" t="s">
        <v>20</v>
      </c>
      <c r="E304" s="1" t="s">
        <v>36</v>
      </c>
      <c r="F304" s="1" t="s">
        <v>22</v>
      </c>
      <c r="G304" s="1" t="s">
        <v>117</v>
      </c>
      <c r="H304">
        <v>33</v>
      </c>
      <c r="I304" s="4">
        <v>977.23</v>
      </c>
      <c r="J304" s="4">
        <v>32248.59</v>
      </c>
      <c r="K304" s="6">
        <v>25</v>
      </c>
      <c r="L304" s="4">
        <v>24186.44</v>
      </c>
      <c r="M304" s="4">
        <v>10835.43</v>
      </c>
      <c r="N304" s="4">
        <v>13351.01</v>
      </c>
      <c r="O304" s="6">
        <v>55.2</v>
      </c>
      <c r="P304" s="1" t="s">
        <v>49</v>
      </c>
      <c r="Q304" s="1" t="s">
        <v>25</v>
      </c>
      <c r="R304" s="1" t="s">
        <v>26</v>
      </c>
    </row>
    <row r="305" spans="1:18" x14ac:dyDescent="0.25">
      <c r="A305" s="1" t="s">
        <v>461</v>
      </c>
      <c r="B305" s="2">
        <v>45430</v>
      </c>
      <c r="C305" s="1" t="s">
        <v>19</v>
      </c>
      <c r="D305" s="1" t="s">
        <v>20</v>
      </c>
      <c r="E305" s="1" t="s">
        <v>28</v>
      </c>
      <c r="F305" s="1" t="s">
        <v>22</v>
      </c>
      <c r="G305" s="1" t="s">
        <v>124</v>
      </c>
      <c r="H305">
        <v>31</v>
      </c>
      <c r="I305" s="4">
        <v>1034.0999999999999</v>
      </c>
      <c r="J305" s="4">
        <v>32057.1</v>
      </c>
      <c r="K305" s="6">
        <v>5</v>
      </c>
      <c r="L305" s="4">
        <v>30454.240000000002</v>
      </c>
      <c r="M305" s="4">
        <v>12865.69</v>
      </c>
      <c r="N305" s="4">
        <v>17588.55</v>
      </c>
      <c r="O305" s="6">
        <v>57.75</v>
      </c>
      <c r="P305" s="1" t="s">
        <v>44</v>
      </c>
      <c r="Q305" s="1" t="s">
        <v>106</v>
      </c>
      <c r="R305" s="1" t="s">
        <v>26</v>
      </c>
    </row>
    <row r="306" spans="1:18" x14ac:dyDescent="0.25">
      <c r="A306" s="1" t="s">
        <v>314</v>
      </c>
      <c r="B306" s="2">
        <v>45166</v>
      </c>
      <c r="C306" s="1" t="s">
        <v>58</v>
      </c>
      <c r="D306" s="1" t="s">
        <v>126</v>
      </c>
      <c r="E306" s="1" t="s">
        <v>42</v>
      </c>
      <c r="F306" s="1" t="s">
        <v>81</v>
      </c>
      <c r="G306" s="1" t="s">
        <v>110</v>
      </c>
      <c r="H306">
        <v>50</v>
      </c>
      <c r="I306" s="4">
        <v>640.26</v>
      </c>
      <c r="J306" s="4">
        <v>32013</v>
      </c>
      <c r="K306" s="6">
        <v>20</v>
      </c>
      <c r="L306" s="4">
        <v>25610.400000000001</v>
      </c>
      <c r="M306" s="4">
        <v>17877.21</v>
      </c>
      <c r="N306" s="4">
        <v>7733.19</v>
      </c>
      <c r="O306" s="6">
        <v>30.2</v>
      </c>
      <c r="P306" s="1" t="s">
        <v>31</v>
      </c>
      <c r="Q306" s="1" t="s">
        <v>38</v>
      </c>
      <c r="R306" s="1" t="s">
        <v>26</v>
      </c>
    </row>
    <row r="307" spans="1:18" x14ac:dyDescent="0.25">
      <c r="A307" s="1" t="s">
        <v>385</v>
      </c>
      <c r="B307" s="2">
        <v>44939</v>
      </c>
      <c r="C307" s="1" t="s">
        <v>19</v>
      </c>
      <c r="D307" s="1" t="s">
        <v>75</v>
      </c>
      <c r="E307" s="1" t="s">
        <v>21</v>
      </c>
      <c r="F307" s="1" t="s">
        <v>22</v>
      </c>
      <c r="G307" s="1" t="s">
        <v>94</v>
      </c>
      <c r="H307">
        <v>48</v>
      </c>
      <c r="I307" s="4">
        <v>649.88</v>
      </c>
      <c r="J307" s="4">
        <v>31194.240000000002</v>
      </c>
      <c r="K307" s="6">
        <v>0</v>
      </c>
      <c r="L307" s="4">
        <v>31194.240000000002</v>
      </c>
      <c r="M307" s="4">
        <v>20513.54</v>
      </c>
      <c r="N307" s="4">
        <v>10680.7</v>
      </c>
      <c r="O307" s="6">
        <v>34.24</v>
      </c>
      <c r="P307" s="1" t="s">
        <v>49</v>
      </c>
      <c r="Q307" s="1" t="s">
        <v>56</v>
      </c>
      <c r="R307" s="1" t="s">
        <v>26</v>
      </c>
    </row>
    <row r="308" spans="1:18" x14ac:dyDescent="0.25">
      <c r="A308" s="1" t="s">
        <v>97</v>
      </c>
      <c r="B308" s="2">
        <v>44929</v>
      </c>
      <c r="C308" s="1" t="s">
        <v>51</v>
      </c>
      <c r="D308" s="1" t="s">
        <v>98</v>
      </c>
      <c r="E308" s="1" t="s">
        <v>85</v>
      </c>
      <c r="F308" s="1" t="s">
        <v>54</v>
      </c>
      <c r="G308" s="1" t="s">
        <v>99</v>
      </c>
      <c r="H308">
        <v>14</v>
      </c>
      <c r="I308" s="4">
        <v>2181.9299999999998</v>
      </c>
      <c r="J308" s="4">
        <v>30547.02</v>
      </c>
      <c r="K308" s="6">
        <v>0</v>
      </c>
      <c r="L308" s="4">
        <v>30547.02</v>
      </c>
      <c r="M308" s="4">
        <v>13727.56</v>
      </c>
      <c r="N308" s="4">
        <v>16819.46</v>
      </c>
      <c r="O308" s="6">
        <v>55.06</v>
      </c>
      <c r="P308" s="1" t="s">
        <v>62</v>
      </c>
      <c r="Q308" s="1" t="s">
        <v>38</v>
      </c>
      <c r="R308" s="1" t="s">
        <v>26</v>
      </c>
    </row>
    <row r="309" spans="1:18" x14ac:dyDescent="0.25">
      <c r="A309" s="1" t="s">
        <v>486</v>
      </c>
      <c r="B309" s="2">
        <v>45048</v>
      </c>
      <c r="C309" s="1" t="s">
        <v>34</v>
      </c>
      <c r="D309" s="1" t="s">
        <v>133</v>
      </c>
      <c r="E309" s="1" t="s">
        <v>112</v>
      </c>
      <c r="F309" s="1" t="s">
        <v>54</v>
      </c>
      <c r="G309" s="1" t="s">
        <v>99</v>
      </c>
      <c r="H309">
        <v>26</v>
      </c>
      <c r="I309" s="4">
        <v>1167.6099999999999</v>
      </c>
      <c r="J309" s="4">
        <v>30357.86</v>
      </c>
      <c r="K309" s="6">
        <v>0</v>
      </c>
      <c r="L309" s="4">
        <v>30357.86</v>
      </c>
      <c r="M309" s="4">
        <v>15690.48</v>
      </c>
      <c r="N309" s="4">
        <v>14667.38</v>
      </c>
      <c r="O309" s="6">
        <v>48.31</v>
      </c>
      <c r="P309" s="1" t="s">
        <v>31</v>
      </c>
      <c r="Q309" s="1" t="s">
        <v>56</v>
      </c>
      <c r="R309" s="1" t="s">
        <v>26</v>
      </c>
    </row>
    <row r="310" spans="1:18" x14ac:dyDescent="0.25">
      <c r="A310" s="1" t="s">
        <v>595</v>
      </c>
      <c r="B310" s="2">
        <v>45639</v>
      </c>
      <c r="C310" s="1" t="s">
        <v>51</v>
      </c>
      <c r="D310" s="1" t="s">
        <v>52</v>
      </c>
      <c r="E310" s="1" t="s">
        <v>120</v>
      </c>
      <c r="F310" s="1" t="s">
        <v>22</v>
      </c>
      <c r="G310" s="1" t="s">
        <v>40</v>
      </c>
      <c r="H310">
        <v>47</v>
      </c>
      <c r="I310" s="4">
        <v>640.74</v>
      </c>
      <c r="J310" s="4">
        <v>30114.78</v>
      </c>
      <c r="K310" s="6">
        <v>5</v>
      </c>
      <c r="L310" s="4">
        <v>28609.040000000001</v>
      </c>
      <c r="M310" s="4">
        <v>18127.240000000002</v>
      </c>
      <c r="N310" s="4">
        <v>10481.799999999999</v>
      </c>
      <c r="O310" s="6">
        <v>36.64</v>
      </c>
      <c r="P310" s="1" t="s">
        <v>31</v>
      </c>
      <c r="Q310" s="1" t="s">
        <v>106</v>
      </c>
      <c r="R310" s="1" t="s">
        <v>26</v>
      </c>
    </row>
    <row r="311" spans="1:18" x14ac:dyDescent="0.25">
      <c r="A311" s="1" t="s">
        <v>145</v>
      </c>
      <c r="B311" s="2">
        <v>45499</v>
      </c>
      <c r="C311" s="1" t="s">
        <v>58</v>
      </c>
      <c r="D311" s="1" t="s">
        <v>79</v>
      </c>
      <c r="E311" s="1" t="s">
        <v>53</v>
      </c>
      <c r="F311" s="1" t="s">
        <v>81</v>
      </c>
      <c r="G311" s="1" t="s">
        <v>110</v>
      </c>
      <c r="H311">
        <v>8</v>
      </c>
      <c r="I311" s="4">
        <v>3760.4</v>
      </c>
      <c r="J311" s="4">
        <v>30083.200000000001</v>
      </c>
      <c r="K311" s="6">
        <v>15</v>
      </c>
      <c r="L311" s="4">
        <v>25570.720000000001</v>
      </c>
      <c r="M311" s="4">
        <v>15349.42</v>
      </c>
      <c r="N311" s="4">
        <v>10221.299999999999</v>
      </c>
      <c r="O311" s="6">
        <v>39.97</v>
      </c>
      <c r="P311" s="1" t="s">
        <v>31</v>
      </c>
      <c r="Q311" s="1" t="s">
        <v>38</v>
      </c>
      <c r="R311" s="1" t="s">
        <v>26</v>
      </c>
    </row>
    <row r="312" spans="1:18" x14ac:dyDescent="0.25">
      <c r="A312" s="1" t="s">
        <v>501</v>
      </c>
      <c r="B312" s="2">
        <v>44933</v>
      </c>
      <c r="C312" s="1" t="s">
        <v>51</v>
      </c>
      <c r="D312" s="1" t="s">
        <v>91</v>
      </c>
      <c r="E312" s="1" t="s">
        <v>72</v>
      </c>
      <c r="F312" s="1" t="s">
        <v>54</v>
      </c>
      <c r="G312" s="1" t="s">
        <v>86</v>
      </c>
      <c r="H312">
        <v>23</v>
      </c>
      <c r="I312" s="4">
        <v>1294.1199999999999</v>
      </c>
      <c r="J312" s="4">
        <v>29764.76</v>
      </c>
      <c r="K312" s="6">
        <v>15</v>
      </c>
      <c r="L312" s="4">
        <v>25300.05</v>
      </c>
      <c r="M312" s="4">
        <v>16853.669999999998</v>
      </c>
      <c r="N312" s="4">
        <v>8446.3799999999992</v>
      </c>
      <c r="O312" s="6">
        <v>33.380000000000003</v>
      </c>
      <c r="P312" s="1" t="s">
        <v>31</v>
      </c>
      <c r="Q312" s="1" t="s">
        <v>106</v>
      </c>
      <c r="R312" s="1" t="s">
        <v>26</v>
      </c>
    </row>
    <row r="313" spans="1:18" x14ac:dyDescent="0.25">
      <c r="A313" s="1" t="s">
        <v>406</v>
      </c>
      <c r="B313" s="2">
        <v>45555</v>
      </c>
      <c r="C313" s="1" t="s">
        <v>19</v>
      </c>
      <c r="D313" s="1" t="s">
        <v>20</v>
      </c>
      <c r="E313" s="1" t="s">
        <v>104</v>
      </c>
      <c r="F313" s="1" t="s">
        <v>60</v>
      </c>
      <c r="G313" s="1" t="s">
        <v>61</v>
      </c>
      <c r="H313">
        <v>15</v>
      </c>
      <c r="I313" s="4">
        <v>1979.74</v>
      </c>
      <c r="J313" s="4">
        <v>29696.1</v>
      </c>
      <c r="K313" s="6">
        <v>15</v>
      </c>
      <c r="L313" s="4">
        <v>25241.68</v>
      </c>
      <c r="M313" s="4">
        <v>10101.85</v>
      </c>
      <c r="N313" s="4">
        <v>15139.83</v>
      </c>
      <c r="O313" s="6">
        <v>59.98</v>
      </c>
      <c r="P313" s="1" t="s">
        <v>49</v>
      </c>
      <c r="Q313" s="1" t="s">
        <v>106</v>
      </c>
      <c r="R313" s="1" t="s">
        <v>26</v>
      </c>
    </row>
    <row r="314" spans="1:18" x14ac:dyDescent="0.25">
      <c r="A314" s="1" t="s">
        <v>287</v>
      </c>
      <c r="B314" s="2">
        <v>45652</v>
      </c>
      <c r="C314" s="1" t="s">
        <v>34</v>
      </c>
      <c r="D314" s="1" t="s">
        <v>46</v>
      </c>
      <c r="E314" s="1" t="s">
        <v>104</v>
      </c>
      <c r="F314" s="1" t="s">
        <v>54</v>
      </c>
      <c r="G314" s="1" t="s">
        <v>55</v>
      </c>
      <c r="H314">
        <v>22</v>
      </c>
      <c r="I314" s="4">
        <v>1342.19</v>
      </c>
      <c r="J314" s="4">
        <v>29528.18</v>
      </c>
      <c r="K314" s="6">
        <v>20</v>
      </c>
      <c r="L314" s="4">
        <v>23622.54</v>
      </c>
      <c r="M314" s="4">
        <v>13221.58</v>
      </c>
      <c r="N314" s="4">
        <v>10400.959999999999</v>
      </c>
      <c r="O314" s="6">
        <v>44.03</v>
      </c>
      <c r="P314" s="1" t="s">
        <v>31</v>
      </c>
      <c r="Q314" s="1" t="s">
        <v>38</v>
      </c>
      <c r="R314" s="1" t="s">
        <v>26</v>
      </c>
    </row>
    <row r="315" spans="1:18" x14ac:dyDescent="0.25">
      <c r="A315" s="1" t="s">
        <v>541</v>
      </c>
      <c r="B315" s="2">
        <v>45379</v>
      </c>
      <c r="C315" s="1" t="s">
        <v>58</v>
      </c>
      <c r="D315" s="1" t="s">
        <v>119</v>
      </c>
      <c r="E315" s="1" t="s">
        <v>53</v>
      </c>
      <c r="F315" s="1" t="s">
        <v>54</v>
      </c>
      <c r="G315" s="1" t="s">
        <v>55</v>
      </c>
      <c r="H315">
        <v>23</v>
      </c>
      <c r="I315" s="4">
        <v>1281.8800000000001</v>
      </c>
      <c r="J315" s="4">
        <v>29483.24</v>
      </c>
      <c r="K315" s="6">
        <v>5</v>
      </c>
      <c r="L315" s="4">
        <v>28009.08</v>
      </c>
      <c r="M315" s="4">
        <v>17965.37</v>
      </c>
      <c r="N315" s="4">
        <v>10043.709999999999</v>
      </c>
      <c r="O315" s="6">
        <v>35.86</v>
      </c>
      <c r="P315" s="1" t="s">
        <v>44</v>
      </c>
      <c r="Q315" s="1" t="s">
        <v>38</v>
      </c>
      <c r="R315" s="1" t="s">
        <v>26</v>
      </c>
    </row>
    <row r="316" spans="1:18" x14ac:dyDescent="0.25">
      <c r="A316" s="1" t="s">
        <v>312</v>
      </c>
      <c r="B316" s="2">
        <v>45042</v>
      </c>
      <c r="C316" s="1" t="s">
        <v>58</v>
      </c>
      <c r="D316" s="1" t="s">
        <v>119</v>
      </c>
      <c r="E316" s="1" t="s">
        <v>21</v>
      </c>
      <c r="F316" s="1" t="s">
        <v>54</v>
      </c>
      <c r="G316" s="1" t="s">
        <v>96</v>
      </c>
      <c r="H316">
        <v>30</v>
      </c>
      <c r="I316" s="4">
        <v>963.48</v>
      </c>
      <c r="J316" s="4">
        <v>28904.400000000001</v>
      </c>
      <c r="K316" s="6">
        <v>10</v>
      </c>
      <c r="L316" s="4">
        <v>26013.96</v>
      </c>
      <c r="M316" s="4">
        <v>11876.52</v>
      </c>
      <c r="N316" s="4">
        <v>14137.44</v>
      </c>
      <c r="O316" s="6">
        <v>54.35</v>
      </c>
      <c r="P316" s="1" t="s">
        <v>24</v>
      </c>
      <c r="Q316" s="1" t="s">
        <v>63</v>
      </c>
      <c r="R316" s="1" t="s">
        <v>26</v>
      </c>
    </row>
    <row r="317" spans="1:18" x14ac:dyDescent="0.25">
      <c r="A317" s="1" t="s">
        <v>426</v>
      </c>
      <c r="B317" s="2">
        <v>44966</v>
      </c>
      <c r="C317" s="1" t="s">
        <v>58</v>
      </c>
      <c r="D317" s="1" t="s">
        <v>79</v>
      </c>
      <c r="E317" s="1" t="s">
        <v>129</v>
      </c>
      <c r="F317" s="1" t="s">
        <v>29</v>
      </c>
      <c r="G317" s="1" t="s">
        <v>66</v>
      </c>
      <c r="H317">
        <v>10</v>
      </c>
      <c r="I317" s="4">
        <v>2877.54</v>
      </c>
      <c r="J317" s="4">
        <v>28775.4</v>
      </c>
      <c r="K317" s="6">
        <v>25</v>
      </c>
      <c r="L317" s="4">
        <v>21581.55</v>
      </c>
      <c r="M317" s="4">
        <v>13123.71</v>
      </c>
      <c r="N317" s="4">
        <v>8457.84</v>
      </c>
      <c r="O317" s="6">
        <v>39.19</v>
      </c>
      <c r="P317" s="1" t="s">
        <v>62</v>
      </c>
      <c r="Q317" s="1" t="s">
        <v>38</v>
      </c>
      <c r="R317" s="1" t="s">
        <v>26</v>
      </c>
    </row>
    <row r="318" spans="1:18" x14ac:dyDescent="0.25">
      <c r="A318" s="1" t="s">
        <v>459</v>
      </c>
      <c r="B318" s="2">
        <v>45621</v>
      </c>
      <c r="C318" s="1" t="s">
        <v>19</v>
      </c>
      <c r="D318" s="1" t="s">
        <v>155</v>
      </c>
      <c r="E318" s="1" t="s">
        <v>120</v>
      </c>
      <c r="F318" s="1" t="s">
        <v>54</v>
      </c>
      <c r="G318" s="1" t="s">
        <v>235</v>
      </c>
      <c r="H318">
        <v>17</v>
      </c>
      <c r="I318" s="4">
        <v>1689.19</v>
      </c>
      <c r="J318" s="4">
        <v>28716.23</v>
      </c>
      <c r="K318" s="6">
        <v>0</v>
      </c>
      <c r="L318" s="4">
        <v>28716.23</v>
      </c>
      <c r="M318" s="4">
        <v>17556.25</v>
      </c>
      <c r="N318" s="4">
        <v>11159.98</v>
      </c>
      <c r="O318" s="6">
        <v>38.86</v>
      </c>
      <c r="P318" s="1" t="s">
        <v>31</v>
      </c>
      <c r="Q318" s="1" t="s">
        <v>63</v>
      </c>
      <c r="R318" s="1" t="s">
        <v>26</v>
      </c>
    </row>
    <row r="319" spans="1:18" x14ac:dyDescent="0.25">
      <c r="A319" s="1" t="s">
        <v>422</v>
      </c>
      <c r="B319" s="2">
        <v>45007</v>
      </c>
      <c r="C319" s="1" t="s">
        <v>51</v>
      </c>
      <c r="D319" s="1" t="s">
        <v>88</v>
      </c>
      <c r="E319" s="1" t="s">
        <v>80</v>
      </c>
      <c r="F319" s="1" t="s">
        <v>54</v>
      </c>
      <c r="G319" s="1" t="s">
        <v>102</v>
      </c>
      <c r="H319">
        <v>14</v>
      </c>
      <c r="I319" s="4">
        <v>2049.88</v>
      </c>
      <c r="J319" s="4">
        <v>28698.32</v>
      </c>
      <c r="K319" s="6">
        <v>5</v>
      </c>
      <c r="L319" s="4">
        <v>27263.4</v>
      </c>
      <c r="M319" s="4">
        <v>11254.41</v>
      </c>
      <c r="N319" s="4">
        <v>16008.99</v>
      </c>
      <c r="O319" s="6">
        <v>58.72</v>
      </c>
      <c r="P319" s="1" t="s">
        <v>62</v>
      </c>
      <c r="Q319" s="1" t="s">
        <v>106</v>
      </c>
      <c r="R319" s="1" t="s">
        <v>26</v>
      </c>
    </row>
    <row r="320" spans="1:18" x14ac:dyDescent="0.25">
      <c r="A320" s="1" t="s">
        <v>507</v>
      </c>
      <c r="B320" s="2">
        <v>45556</v>
      </c>
      <c r="C320" s="1" t="s">
        <v>19</v>
      </c>
      <c r="D320" s="1" t="s">
        <v>20</v>
      </c>
      <c r="E320" s="1" t="s">
        <v>72</v>
      </c>
      <c r="F320" s="1" t="s">
        <v>29</v>
      </c>
      <c r="G320" s="1" t="s">
        <v>37</v>
      </c>
      <c r="H320">
        <v>10</v>
      </c>
      <c r="I320" s="4">
        <v>2823.42</v>
      </c>
      <c r="J320" s="4">
        <v>28234.2</v>
      </c>
      <c r="K320" s="6">
        <v>5</v>
      </c>
      <c r="L320" s="4">
        <v>26822.49</v>
      </c>
      <c r="M320" s="4">
        <v>14558.19</v>
      </c>
      <c r="N320" s="4">
        <v>12264.3</v>
      </c>
      <c r="O320" s="6">
        <v>45.72</v>
      </c>
      <c r="P320" s="1" t="s">
        <v>31</v>
      </c>
      <c r="Q320" s="1" t="s">
        <v>56</v>
      </c>
      <c r="R320" s="1" t="s">
        <v>26</v>
      </c>
    </row>
    <row r="321" spans="1:18" x14ac:dyDescent="0.25">
      <c r="A321" s="1" t="s">
        <v>340</v>
      </c>
      <c r="B321" s="2">
        <v>45434</v>
      </c>
      <c r="C321" s="1" t="s">
        <v>34</v>
      </c>
      <c r="D321" s="1" t="s">
        <v>133</v>
      </c>
      <c r="E321" s="1" t="s">
        <v>42</v>
      </c>
      <c r="F321" s="1" t="s">
        <v>47</v>
      </c>
      <c r="G321" s="1" t="s">
        <v>77</v>
      </c>
      <c r="H321">
        <v>5</v>
      </c>
      <c r="I321" s="4">
        <v>5640.48</v>
      </c>
      <c r="J321" s="4">
        <v>28202.400000000001</v>
      </c>
      <c r="K321" s="6">
        <v>5</v>
      </c>
      <c r="L321" s="4">
        <v>26792.28</v>
      </c>
      <c r="M321" s="4">
        <v>16511.27</v>
      </c>
      <c r="N321" s="4">
        <v>10281.01</v>
      </c>
      <c r="O321" s="6">
        <v>38.369999999999997</v>
      </c>
      <c r="P321" s="1" t="s">
        <v>31</v>
      </c>
      <c r="Q321" s="1" t="s">
        <v>25</v>
      </c>
      <c r="R321" s="1" t="s">
        <v>26</v>
      </c>
    </row>
    <row r="322" spans="1:18" x14ac:dyDescent="0.25">
      <c r="A322" s="1" t="s">
        <v>158</v>
      </c>
      <c r="B322" s="2">
        <v>45311</v>
      </c>
      <c r="C322" s="1" t="s">
        <v>19</v>
      </c>
      <c r="D322" s="1" t="s">
        <v>159</v>
      </c>
      <c r="E322" s="1" t="s">
        <v>104</v>
      </c>
      <c r="F322" s="1" t="s">
        <v>47</v>
      </c>
      <c r="G322" s="1" t="s">
        <v>160</v>
      </c>
      <c r="H322">
        <v>2</v>
      </c>
      <c r="I322" s="4">
        <v>13958.2</v>
      </c>
      <c r="J322" s="4">
        <v>27916.400000000001</v>
      </c>
      <c r="K322" s="6">
        <v>20</v>
      </c>
      <c r="L322" s="4">
        <v>22333.119999999999</v>
      </c>
      <c r="M322" s="4">
        <v>13471.43</v>
      </c>
      <c r="N322" s="4">
        <v>8861.69</v>
      </c>
      <c r="O322" s="6">
        <v>39.68</v>
      </c>
      <c r="P322" s="1" t="s">
        <v>62</v>
      </c>
      <c r="Q322" s="1" t="s">
        <v>63</v>
      </c>
      <c r="R322" s="1" t="s">
        <v>26</v>
      </c>
    </row>
    <row r="323" spans="1:18" x14ac:dyDescent="0.25">
      <c r="A323" s="1" t="s">
        <v>449</v>
      </c>
      <c r="B323" s="2">
        <v>45604</v>
      </c>
      <c r="C323" s="1" t="s">
        <v>19</v>
      </c>
      <c r="D323" s="1" t="s">
        <v>155</v>
      </c>
      <c r="E323" s="1" t="s">
        <v>42</v>
      </c>
      <c r="F323" s="1" t="s">
        <v>22</v>
      </c>
      <c r="G323" s="1" t="s">
        <v>23</v>
      </c>
      <c r="H323">
        <v>35</v>
      </c>
      <c r="I323" s="4">
        <v>777.91</v>
      </c>
      <c r="J323" s="4">
        <v>27226.85</v>
      </c>
      <c r="K323" s="6">
        <v>20</v>
      </c>
      <c r="L323" s="4">
        <v>21781.48</v>
      </c>
      <c r="M323" s="4">
        <v>15212.27</v>
      </c>
      <c r="N323" s="4">
        <v>6569.21</v>
      </c>
      <c r="O323" s="6">
        <v>30.16</v>
      </c>
      <c r="P323" s="1" t="s">
        <v>24</v>
      </c>
      <c r="Q323" s="1" t="s">
        <v>63</v>
      </c>
      <c r="R323" s="1" t="s">
        <v>26</v>
      </c>
    </row>
    <row r="324" spans="1:18" x14ac:dyDescent="0.25">
      <c r="A324" s="1" t="s">
        <v>345</v>
      </c>
      <c r="B324" s="2">
        <v>45539</v>
      </c>
      <c r="C324" s="1" t="s">
        <v>51</v>
      </c>
      <c r="D324" s="1" t="s">
        <v>84</v>
      </c>
      <c r="E324" s="1" t="s">
        <v>65</v>
      </c>
      <c r="F324" s="1" t="s">
        <v>22</v>
      </c>
      <c r="G324" s="1" t="s">
        <v>124</v>
      </c>
      <c r="H324">
        <v>28</v>
      </c>
      <c r="I324" s="4">
        <v>963.77</v>
      </c>
      <c r="J324" s="4">
        <v>26985.56</v>
      </c>
      <c r="K324" s="6">
        <v>0</v>
      </c>
      <c r="L324" s="4">
        <v>26985.56</v>
      </c>
      <c r="M324" s="4">
        <v>14429.72</v>
      </c>
      <c r="N324" s="4">
        <v>12555.84</v>
      </c>
      <c r="O324" s="6">
        <v>46.53</v>
      </c>
      <c r="P324" s="1" t="s">
        <v>62</v>
      </c>
      <c r="Q324" s="1" t="s">
        <v>25</v>
      </c>
      <c r="R324" s="1" t="s">
        <v>26</v>
      </c>
    </row>
    <row r="325" spans="1:18" x14ac:dyDescent="0.25">
      <c r="A325" s="1" t="s">
        <v>254</v>
      </c>
      <c r="B325" s="2">
        <v>45076</v>
      </c>
      <c r="C325" s="1" t="s">
        <v>19</v>
      </c>
      <c r="D325" s="1" t="s">
        <v>166</v>
      </c>
      <c r="E325" s="1" t="s">
        <v>36</v>
      </c>
      <c r="F325" s="1" t="s">
        <v>29</v>
      </c>
      <c r="G325" s="1" t="s">
        <v>142</v>
      </c>
      <c r="H325">
        <v>7</v>
      </c>
      <c r="I325" s="4">
        <v>3816.5</v>
      </c>
      <c r="J325" s="4">
        <v>26715.5</v>
      </c>
      <c r="K325" s="6">
        <v>25</v>
      </c>
      <c r="L325" s="4">
        <v>20036.62</v>
      </c>
      <c r="M325" s="4">
        <v>10030.07</v>
      </c>
      <c r="N325" s="4">
        <v>10006.549999999999</v>
      </c>
      <c r="O325" s="6">
        <v>49.94</v>
      </c>
      <c r="P325" s="1" t="s">
        <v>49</v>
      </c>
      <c r="Q325" s="1" t="s">
        <v>56</v>
      </c>
      <c r="R325" s="1" t="s">
        <v>26</v>
      </c>
    </row>
    <row r="326" spans="1:18" x14ac:dyDescent="0.25">
      <c r="A326" s="1" t="s">
        <v>564</v>
      </c>
      <c r="B326" s="2">
        <v>45097</v>
      </c>
      <c r="C326" s="1" t="s">
        <v>58</v>
      </c>
      <c r="D326" s="1" t="s">
        <v>79</v>
      </c>
      <c r="E326" s="1" t="s">
        <v>112</v>
      </c>
      <c r="F326" s="1" t="s">
        <v>22</v>
      </c>
      <c r="G326" s="1" t="s">
        <v>170</v>
      </c>
      <c r="H326">
        <v>30</v>
      </c>
      <c r="I326" s="4">
        <v>866.86</v>
      </c>
      <c r="J326" s="4">
        <v>26005.8</v>
      </c>
      <c r="K326" s="6">
        <v>15</v>
      </c>
      <c r="L326" s="4">
        <v>22104.93</v>
      </c>
      <c r="M326" s="4">
        <v>14696.4</v>
      </c>
      <c r="N326" s="4">
        <v>7408.53</v>
      </c>
      <c r="O326" s="6">
        <v>33.520000000000003</v>
      </c>
      <c r="P326" s="1" t="s">
        <v>49</v>
      </c>
      <c r="Q326" s="1" t="s">
        <v>25</v>
      </c>
      <c r="R326" s="1" t="s">
        <v>26</v>
      </c>
    </row>
    <row r="327" spans="1:18" x14ac:dyDescent="0.25">
      <c r="A327" s="1" t="s">
        <v>361</v>
      </c>
      <c r="B327" s="2">
        <v>45150</v>
      </c>
      <c r="C327" s="1" t="s">
        <v>19</v>
      </c>
      <c r="D327" s="1" t="s">
        <v>166</v>
      </c>
      <c r="E327" s="1" t="s">
        <v>28</v>
      </c>
      <c r="F327" s="1" t="s">
        <v>81</v>
      </c>
      <c r="G327" s="1" t="s">
        <v>163</v>
      </c>
      <c r="H327">
        <v>49</v>
      </c>
      <c r="I327" s="4">
        <v>524.55999999999995</v>
      </c>
      <c r="J327" s="4">
        <v>25703.439999999999</v>
      </c>
      <c r="K327" s="6">
        <v>25</v>
      </c>
      <c r="L327" s="4">
        <v>19277.580000000002</v>
      </c>
      <c r="M327" s="4">
        <v>10263.58</v>
      </c>
      <c r="N327" s="4">
        <v>9014</v>
      </c>
      <c r="O327" s="6">
        <v>46.76</v>
      </c>
      <c r="P327" s="1" t="s">
        <v>62</v>
      </c>
      <c r="Q327" s="1" t="s">
        <v>56</v>
      </c>
      <c r="R327" s="1" t="s">
        <v>26</v>
      </c>
    </row>
    <row r="328" spans="1:18" x14ac:dyDescent="0.25">
      <c r="A328" s="1" t="s">
        <v>348</v>
      </c>
      <c r="B328" s="2">
        <v>45027</v>
      </c>
      <c r="C328" s="1" t="s">
        <v>19</v>
      </c>
      <c r="D328" s="1" t="s">
        <v>75</v>
      </c>
      <c r="E328" s="1" t="s">
        <v>42</v>
      </c>
      <c r="F328" s="1" t="s">
        <v>22</v>
      </c>
      <c r="G328" s="1" t="s">
        <v>117</v>
      </c>
      <c r="H328">
        <v>22</v>
      </c>
      <c r="I328" s="4">
        <v>1161.5999999999999</v>
      </c>
      <c r="J328" s="4">
        <v>25555.200000000001</v>
      </c>
      <c r="K328" s="6">
        <v>15</v>
      </c>
      <c r="L328" s="4">
        <v>21721.919999999998</v>
      </c>
      <c r="M328" s="4">
        <v>9379.16</v>
      </c>
      <c r="N328" s="4">
        <v>12342.76</v>
      </c>
      <c r="O328" s="6">
        <v>56.82</v>
      </c>
      <c r="P328" s="1" t="s">
        <v>44</v>
      </c>
      <c r="Q328" s="1" t="s">
        <v>106</v>
      </c>
      <c r="R328" s="1" t="s">
        <v>26</v>
      </c>
    </row>
    <row r="329" spans="1:18" x14ac:dyDescent="0.25">
      <c r="A329" s="1" t="s">
        <v>516</v>
      </c>
      <c r="B329" s="2">
        <v>45376</v>
      </c>
      <c r="C329" s="1" t="s">
        <v>58</v>
      </c>
      <c r="D329" s="1" t="s">
        <v>150</v>
      </c>
      <c r="E329" s="1" t="s">
        <v>65</v>
      </c>
      <c r="F329" s="1" t="s">
        <v>81</v>
      </c>
      <c r="G329" s="1" t="s">
        <v>186</v>
      </c>
      <c r="H329">
        <v>39</v>
      </c>
      <c r="I329" s="4">
        <v>648.21</v>
      </c>
      <c r="J329" s="4">
        <v>25280.19</v>
      </c>
      <c r="K329" s="6">
        <v>5</v>
      </c>
      <c r="L329" s="4">
        <v>24016.18</v>
      </c>
      <c r="M329" s="4">
        <v>14219.68</v>
      </c>
      <c r="N329" s="4">
        <v>9796.5</v>
      </c>
      <c r="O329" s="6">
        <v>40.79</v>
      </c>
      <c r="P329" s="1" t="s">
        <v>24</v>
      </c>
      <c r="Q329" s="1" t="s">
        <v>106</v>
      </c>
      <c r="R329" s="1" t="s">
        <v>26</v>
      </c>
    </row>
    <row r="330" spans="1:18" x14ac:dyDescent="0.25">
      <c r="A330" s="1" t="s">
        <v>334</v>
      </c>
      <c r="B330" s="2">
        <v>45555</v>
      </c>
      <c r="C330" s="1" t="s">
        <v>51</v>
      </c>
      <c r="D330" s="1" t="s">
        <v>88</v>
      </c>
      <c r="E330" s="1" t="s">
        <v>76</v>
      </c>
      <c r="F330" s="1" t="s">
        <v>81</v>
      </c>
      <c r="G330" s="1" t="s">
        <v>163</v>
      </c>
      <c r="H330">
        <v>7</v>
      </c>
      <c r="I330" s="4">
        <v>3609.29</v>
      </c>
      <c r="J330" s="4">
        <v>25265.03</v>
      </c>
      <c r="K330" s="6">
        <v>0</v>
      </c>
      <c r="L330" s="4">
        <v>25265.03</v>
      </c>
      <c r="M330" s="4">
        <v>12687.54</v>
      </c>
      <c r="N330" s="4">
        <v>12577.49</v>
      </c>
      <c r="O330" s="6">
        <v>49.78</v>
      </c>
      <c r="P330" s="1" t="s">
        <v>31</v>
      </c>
      <c r="Q330" s="1" t="s">
        <v>32</v>
      </c>
      <c r="R330" s="1" t="s">
        <v>26</v>
      </c>
    </row>
    <row r="331" spans="1:18" x14ac:dyDescent="0.25">
      <c r="A331" s="1" t="s">
        <v>598</v>
      </c>
      <c r="B331" s="2">
        <v>45080</v>
      </c>
      <c r="C331" s="1" t="s">
        <v>58</v>
      </c>
      <c r="D331" s="1" t="s">
        <v>119</v>
      </c>
      <c r="E331" s="1" t="s">
        <v>42</v>
      </c>
      <c r="F331" s="1" t="s">
        <v>54</v>
      </c>
      <c r="G331" s="1" t="s">
        <v>235</v>
      </c>
      <c r="H331">
        <v>11</v>
      </c>
      <c r="I331" s="4">
        <v>2293.79</v>
      </c>
      <c r="J331" s="4">
        <v>25231.69</v>
      </c>
      <c r="K331" s="6">
        <v>20</v>
      </c>
      <c r="L331" s="4">
        <v>20185.349999999999</v>
      </c>
      <c r="M331" s="4">
        <v>13350.42</v>
      </c>
      <c r="N331" s="4">
        <v>6834.93</v>
      </c>
      <c r="O331" s="6">
        <v>33.86</v>
      </c>
      <c r="P331" s="1" t="s">
        <v>49</v>
      </c>
      <c r="Q331" s="1" t="s">
        <v>106</v>
      </c>
      <c r="R331" s="1" t="s">
        <v>26</v>
      </c>
    </row>
    <row r="332" spans="1:18" x14ac:dyDescent="0.25">
      <c r="A332" s="1" t="s">
        <v>169</v>
      </c>
      <c r="B332" s="2">
        <v>45490</v>
      </c>
      <c r="C332" s="1" t="s">
        <v>51</v>
      </c>
      <c r="D332" s="1" t="s">
        <v>84</v>
      </c>
      <c r="E332" s="1" t="s">
        <v>85</v>
      </c>
      <c r="F332" s="1" t="s">
        <v>22</v>
      </c>
      <c r="G332" s="1" t="s">
        <v>170</v>
      </c>
      <c r="H332">
        <v>36</v>
      </c>
      <c r="I332" s="4">
        <v>674.63</v>
      </c>
      <c r="J332" s="4">
        <v>24286.68</v>
      </c>
      <c r="K332" s="6">
        <v>15</v>
      </c>
      <c r="L332" s="4">
        <v>20643.68</v>
      </c>
      <c r="M332" s="4">
        <v>14429.71</v>
      </c>
      <c r="N332" s="4">
        <v>6213.97</v>
      </c>
      <c r="O332" s="6">
        <v>30.1</v>
      </c>
      <c r="P332" s="1" t="s">
        <v>44</v>
      </c>
      <c r="Q332" s="1" t="s">
        <v>38</v>
      </c>
      <c r="R332" s="1" t="s">
        <v>26</v>
      </c>
    </row>
    <row r="333" spans="1:18" x14ac:dyDescent="0.25">
      <c r="A333" s="1" t="s">
        <v>339</v>
      </c>
      <c r="B333" s="2">
        <v>45431</v>
      </c>
      <c r="C333" s="1" t="s">
        <v>19</v>
      </c>
      <c r="D333" s="1" t="s">
        <v>75</v>
      </c>
      <c r="E333" s="1" t="s">
        <v>112</v>
      </c>
      <c r="F333" s="1" t="s">
        <v>29</v>
      </c>
      <c r="G333" s="1" t="s">
        <v>68</v>
      </c>
      <c r="H333">
        <v>25</v>
      </c>
      <c r="I333" s="4">
        <v>970.38</v>
      </c>
      <c r="J333" s="4">
        <v>24259.5</v>
      </c>
      <c r="K333" s="6">
        <v>10</v>
      </c>
      <c r="L333" s="4">
        <v>21833.55</v>
      </c>
      <c r="M333" s="4">
        <v>10705.85</v>
      </c>
      <c r="N333" s="4">
        <v>11127.7</v>
      </c>
      <c r="O333" s="6">
        <v>50.97</v>
      </c>
      <c r="P333" s="1" t="s">
        <v>49</v>
      </c>
      <c r="Q333" s="1" t="s">
        <v>56</v>
      </c>
      <c r="R333" s="1" t="s">
        <v>26</v>
      </c>
    </row>
    <row r="334" spans="1:18" x14ac:dyDescent="0.25">
      <c r="A334" s="1" t="s">
        <v>193</v>
      </c>
      <c r="B334" s="2">
        <v>45225</v>
      </c>
      <c r="C334" s="1" t="s">
        <v>58</v>
      </c>
      <c r="D334" s="1" t="s">
        <v>79</v>
      </c>
      <c r="E334" s="1" t="s">
        <v>85</v>
      </c>
      <c r="F334" s="1" t="s">
        <v>29</v>
      </c>
      <c r="G334" s="1" t="s">
        <v>73</v>
      </c>
      <c r="H334">
        <v>8</v>
      </c>
      <c r="I334" s="4">
        <v>3002.77</v>
      </c>
      <c r="J334" s="4">
        <v>24022.16</v>
      </c>
      <c r="K334" s="6">
        <v>5</v>
      </c>
      <c r="L334" s="4">
        <v>22821.05</v>
      </c>
      <c r="M334" s="4">
        <v>12540.46</v>
      </c>
      <c r="N334" s="4">
        <v>10280.59</v>
      </c>
      <c r="O334" s="6">
        <v>45.05</v>
      </c>
      <c r="P334" s="1" t="s">
        <v>31</v>
      </c>
      <c r="Q334" s="1" t="s">
        <v>63</v>
      </c>
      <c r="R334" s="1" t="s">
        <v>26</v>
      </c>
    </row>
    <row r="335" spans="1:18" x14ac:dyDescent="0.25">
      <c r="A335" s="1" t="s">
        <v>467</v>
      </c>
      <c r="B335" s="2">
        <v>44974</v>
      </c>
      <c r="C335" s="1" t="s">
        <v>51</v>
      </c>
      <c r="D335" s="1" t="s">
        <v>88</v>
      </c>
      <c r="E335" s="1" t="s">
        <v>85</v>
      </c>
      <c r="F335" s="1" t="s">
        <v>54</v>
      </c>
      <c r="G335" s="1" t="s">
        <v>96</v>
      </c>
      <c r="H335">
        <v>13</v>
      </c>
      <c r="I335" s="4">
        <v>1834.45</v>
      </c>
      <c r="J335" s="4">
        <v>23847.85</v>
      </c>
      <c r="K335" s="6">
        <v>0</v>
      </c>
      <c r="L335" s="4">
        <v>23847.85</v>
      </c>
      <c r="M335" s="4">
        <v>14956.06</v>
      </c>
      <c r="N335" s="4">
        <v>8891.7900000000009</v>
      </c>
      <c r="O335" s="6">
        <v>37.29</v>
      </c>
      <c r="P335" s="1" t="s">
        <v>31</v>
      </c>
      <c r="Q335" s="1" t="s">
        <v>56</v>
      </c>
      <c r="R335" s="1" t="s">
        <v>26</v>
      </c>
    </row>
    <row r="336" spans="1:18" x14ac:dyDescent="0.25">
      <c r="A336" s="1" t="s">
        <v>307</v>
      </c>
      <c r="B336" s="2">
        <v>44983</v>
      </c>
      <c r="C336" s="1" t="s">
        <v>58</v>
      </c>
      <c r="D336" s="1" t="s">
        <v>79</v>
      </c>
      <c r="E336" s="1" t="s">
        <v>65</v>
      </c>
      <c r="F336" s="1" t="s">
        <v>22</v>
      </c>
      <c r="G336" s="1" t="s">
        <v>43</v>
      </c>
      <c r="H336">
        <v>38</v>
      </c>
      <c r="I336" s="4">
        <v>627.49</v>
      </c>
      <c r="J336" s="4">
        <v>23844.62</v>
      </c>
      <c r="K336" s="6">
        <v>20</v>
      </c>
      <c r="L336" s="4">
        <v>19075.7</v>
      </c>
      <c r="M336" s="4">
        <v>10179.65</v>
      </c>
      <c r="N336" s="4">
        <v>8896.0499999999993</v>
      </c>
      <c r="O336" s="6">
        <v>46.64</v>
      </c>
      <c r="P336" s="1" t="s">
        <v>62</v>
      </c>
      <c r="Q336" s="1" t="s">
        <v>106</v>
      </c>
      <c r="R336" s="1" t="s">
        <v>26</v>
      </c>
    </row>
    <row r="337" spans="1:18" x14ac:dyDescent="0.25">
      <c r="A337" s="1" t="s">
        <v>495</v>
      </c>
      <c r="B337" s="2">
        <v>45446</v>
      </c>
      <c r="C337" s="1" t="s">
        <v>51</v>
      </c>
      <c r="D337" s="1" t="s">
        <v>91</v>
      </c>
      <c r="E337" s="1" t="s">
        <v>65</v>
      </c>
      <c r="F337" s="1" t="s">
        <v>29</v>
      </c>
      <c r="G337" s="1" t="s">
        <v>66</v>
      </c>
      <c r="H337">
        <v>41</v>
      </c>
      <c r="I337" s="4">
        <v>574.97</v>
      </c>
      <c r="J337" s="4">
        <v>23573.77</v>
      </c>
      <c r="K337" s="6">
        <v>0</v>
      </c>
      <c r="L337" s="4">
        <v>23573.77</v>
      </c>
      <c r="M337" s="4">
        <v>15738.59</v>
      </c>
      <c r="N337" s="4">
        <v>7835.18</v>
      </c>
      <c r="O337" s="6">
        <v>33.24</v>
      </c>
      <c r="P337" s="1" t="s">
        <v>24</v>
      </c>
      <c r="Q337" s="1" t="s">
        <v>25</v>
      </c>
      <c r="R337" s="1" t="s">
        <v>26</v>
      </c>
    </row>
    <row r="338" spans="1:18" x14ac:dyDescent="0.25">
      <c r="A338" s="1" t="s">
        <v>93</v>
      </c>
      <c r="B338" s="2">
        <v>45121</v>
      </c>
      <c r="C338" s="1" t="s">
        <v>58</v>
      </c>
      <c r="D338" s="1" t="s">
        <v>79</v>
      </c>
      <c r="E338" s="1" t="s">
        <v>76</v>
      </c>
      <c r="F338" s="1" t="s">
        <v>22</v>
      </c>
      <c r="G338" s="1" t="s">
        <v>94</v>
      </c>
      <c r="H338">
        <v>26</v>
      </c>
      <c r="I338" s="4">
        <v>895.6</v>
      </c>
      <c r="J338" s="4">
        <v>23285.599999999999</v>
      </c>
      <c r="K338" s="6">
        <v>0</v>
      </c>
      <c r="L338" s="4">
        <v>23285.599999999999</v>
      </c>
      <c r="M338" s="4">
        <v>11051.27</v>
      </c>
      <c r="N338" s="4">
        <v>12234.33</v>
      </c>
      <c r="O338" s="6">
        <v>52.54</v>
      </c>
      <c r="P338" s="1" t="s">
        <v>31</v>
      </c>
      <c r="Q338" s="1" t="s">
        <v>32</v>
      </c>
      <c r="R338" s="1" t="s">
        <v>26</v>
      </c>
    </row>
    <row r="339" spans="1:18" x14ac:dyDescent="0.25">
      <c r="A339" s="1" t="s">
        <v>587</v>
      </c>
      <c r="B339" s="2">
        <v>45237</v>
      </c>
      <c r="C339" s="1" t="s">
        <v>19</v>
      </c>
      <c r="D339" s="1" t="s">
        <v>159</v>
      </c>
      <c r="E339" s="1" t="s">
        <v>65</v>
      </c>
      <c r="F339" s="1" t="s">
        <v>47</v>
      </c>
      <c r="G339" s="1" t="s">
        <v>127</v>
      </c>
      <c r="H339">
        <v>2</v>
      </c>
      <c r="I339" s="4">
        <v>11563.62</v>
      </c>
      <c r="J339" s="4">
        <v>23127.24</v>
      </c>
      <c r="K339" s="6">
        <v>15</v>
      </c>
      <c r="L339" s="4">
        <v>19658.150000000001</v>
      </c>
      <c r="M339" s="4">
        <v>13531.86</v>
      </c>
      <c r="N339" s="4">
        <v>6126.29</v>
      </c>
      <c r="O339" s="6">
        <v>31.16</v>
      </c>
      <c r="P339" s="1" t="s">
        <v>62</v>
      </c>
      <c r="Q339" s="1" t="s">
        <v>63</v>
      </c>
      <c r="R339" s="1" t="s">
        <v>26</v>
      </c>
    </row>
    <row r="340" spans="1:18" x14ac:dyDescent="0.25">
      <c r="A340" s="1" t="s">
        <v>224</v>
      </c>
      <c r="B340" s="2">
        <v>45308</v>
      </c>
      <c r="C340" s="1" t="s">
        <v>34</v>
      </c>
      <c r="D340" s="1" t="s">
        <v>172</v>
      </c>
      <c r="E340" s="1" t="s">
        <v>120</v>
      </c>
      <c r="F340" s="1" t="s">
        <v>29</v>
      </c>
      <c r="G340" s="1" t="s">
        <v>157</v>
      </c>
      <c r="H340">
        <v>6</v>
      </c>
      <c r="I340" s="4">
        <v>3785.03</v>
      </c>
      <c r="J340" s="4">
        <v>22710.18</v>
      </c>
      <c r="K340" s="6">
        <v>0</v>
      </c>
      <c r="L340" s="4">
        <v>22710.18</v>
      </c>
      <c r="M340" s="4">
        <v>12026.47</v>
      </c>
      <c r="N340" s="4">
        <v>10683.71</v>
      </c>
      <c r="O340" s="6">
        <v>47.04</v>
      </c>
      <c r="P340" s="1" t="s">
        <v>49</v>
      </c>
      <c r="Q340" s="1" t="s">
        <v>25</v>
      </c>
      <c r="R340" s="1" t="s">
        <v>26</v>
      </c>
    </row>
    <row r="341" spans="1:18" x14ac:dyDescent="0.25">
      <c r="A341" s="1" t="s">
        <v>281</v>
      </c>
      <c r="B341" s="2">
        <v>45121</v>
      </c>
      <c r="C341" s="1" t="s">
        <v>58</v>
      </c>
      <c r="D341" s="1" t="s">
        <v>119</v>
      </c>
      <c r="E341" s="1" t="s">
        <v>72</v>
      </c>
      <c r="F341" s="1" t="s">
        <v>54</v>
      </c>
      <c r="G341" s="1" t="s">
        <v>96</v>
      </c>
      <c r="H341">
        <v>11</v>
      </c>
      <c r="I341" s="4">
        <v>2061.67</v>
      </c>
      <c r="J341" s="4">
        <v>22678.37</v>
      </c>
      <c r="K341" s="6">
        <v>20</v>
      </c>
      <c r="L341" s="4">
        <v>18142.7</v>
      </c>
      <c r="M341" s="4">
        <v>11182.05</v>
      </c>
      <c r="N341" s="4">
        <v>6960.65</v>
      </c>
      <c r="O341" s="6">
        <v>38.369999999999997</v>
      </c>
      <c r="P341" s="1" t="s">
        <v>49</v>
      </c>
      <c r="Q341" s="1" t="s">
        <v>32</v>
      </c>
      <c r="R341" s="1" t="s">
        <v>26</v>
      </c>
    </row>
    <row r="342" spans="1:18" x14ac:dyDescent="0.25">
      <c r="A342" s="1" t="s">
        <v>41</v>
      </c>
      <c r="B342" s="2">
        <v>45316</v>
      </c>
      <c r="C342" s="1" t="s">
        <v>19</v>
      </c>
      <c r="D342" s="1" t="s">
        <v>20</v>
      </c>
      <c r="E342" s="1" t="s">
        <v>42</v>
      </c>
      <c r="F342" s="1" t="s">
        <v>22</v>
      </c>
      <c r="G342" s="1" t="s">
        <v>43</v>
      </c>
      <c r="H342">
        <v>19</v>
      </c>
      <c r="I342" s="4">
        <v>1183.45</v>
      </c>
      <c r="J342" s="4">
        <v>22485.55</v>
      </c>
      <c r="K342" s="6">
        <v>5</v>
      </c>
      <c r="L342" s="4">
        <v>21361.27</v>
      </c>
      <c r="M342" s="4">
        <v>14097.27</v>
      </c>
      <c r="N342" s="4">
        <v>7264</v>
      </c>
      <c r="O342" s="6">
        <v>34.01</v>
      </c>
      <c r="P342" s="1" t="s">
        <v>44</v>
      </c>
      <c r="Q342" s="1" t="s">
        <v>32</v>
      </c>
      <c r="R342" s="1" t="s">
        <v>26</v>
      </c>
    </row>
    <row r="343" spans="1:18" x14ac:dyDescent="0.25">
      <c r="A343" s="1" t="s">
        <v>156</v>
      </c>
      <c r="B343" s="2">
        <v>45189</v>
      </c>
      <c r="C343" s="1" t="s">
        <v>51</v>
      </c>
      <c r="D343" s="1" t="s">
        <v>98</v>
      </c>
      <c r="E343" s="1" t="s">
        <v>112</v>
      </c>
      <c r="F343" s="1" t="s">
        <v>29</v>
      </c>
      <c r="G343" s="1" t="s">
        <v>157</v>
      </c>
      <c r="H343">
        <v>8</v>
      </c>
      <c r="I343" s="4">
        <v>2646.87</v>
      </c>
      <c r="J343" s="4">
        <v>21174.959999999999</v>
      </c>
      <c r="K343" s="6">
        <v>5</v>
      </c>
      <c r="L343" s="4">
        <v>20116.21</v>
      </c>
      <c r="M343" s="4">
        <v>10852.9</v>
      </c>
      <c r="N343" s="4">
        <v>9263.31</v>
      </c>
      <c r="O343" s="6">
        <v>46.05</v>
      </c>
      <c r="P343" s="1" t="s">
        <v>44</v>
      </c>
      <c r="Q343" s="1" t="s">
        <v>106</v>
      </c>
      <c r="R343" s="1" t="s">
        <v>26</v>
      </c>
    </row>
    <row r="344" spans="1:18" x14ac:dyDescent="0.25">
      <c r="A344" s="1" t="s">
        <v>550</v>
      </c>
      <c r="B344" s="2">
        <v>45089</v>
      </c>
      <c r="C344" s="1" t="s">
        <v>19</v>
      </c>
      <c r="D344" s="1" t="s">
        <v>75</v>
      </c>
      <c r="E344" s="1" t="s">
        <v>85</v>
      </c>
      <c r="F344" s="1" t="s">
        <v>22</v>
      </c>
      <c r="G344" s="1" t="s">
        <v>43</v>
      </c>
      <c r="H344">
        <v>25</v>
      </c>
      <c r="I344" s="4">
        <v>843.22</v>
      </c>
      <c r="J344" s="4">
        <v>21080.5</v>
      </c>
      <c r="K344" s="6">
        <v>10</v>
      </c>
      <c r="L344" s="4">
        <v>18972.45</v>
      </c>
      <c r="M344" s="4">
        <v>12917.67</v>
      </c>
      <c r="N344" s="4">
        <v>6054.78</v>
      </c>
      <c r="O344" s="6">
        <v>31.91</v>
      </c>
      <c r="P344" s="1" t="s">
        <v>24</v>
      </c>
      <c r="Q344" s="1" t="s">
        <v>63</v>
      </c>
      <c r="R344" s="1" t="s">
        <v>26</v>
      </c>
    </row>
    <row r="345" spans="1:18" x14ac:dyDescent="0.25">
      <c r="A345" s="1" t="s">
        <v>109</v>
      </c>
      <c r="B345" s="2">
        <v>45177</v>
      </c>
      <c r="C345" s="1" t="s">
        <v>19</v>
      </c>
      <c r="D345" s="1" t="s">
        <v>20</v>
      </c>
      <c r="E345" s="1" t="s">
        <v>28</v>
      </c>
      <c r="F345" s="1" t="s">
        <v>81</v>
      </c>
      <c r="G345" s="1" t="s">
        <v>110</v>
      </c>
      <c r="H345">
        <v>17</v>
      </c>
      <c r="I345" s="4">
        <v>1233.1600000000001</v>
      </c>
      <c r="J345" s="4">
        <v>20963.72</v>
      </c>
      <c r="K345" s="6">
        <v>10</v>
      </c>
      <c r="L345" s="4">
        <v>18867.349999999999</v>
      </c>
      <c r="M345" s="4">
        <v>12532.81</v>
      </c>
      <c r="N345" s="4">
        <v>6334.54</v>
      </c>
      <c r="O345" s="6">
        <v>33.57</v>
      </c>
      <c r="P345" s="1" t="s">
        <v>44</v>
      </c>
      <c r="Q345" s="1" t="s">
        <v>38</v>
      </c>
      <c r="R345" s="1" t="s">
        <v>26</v>
      </c>
    </row>
    <row r="346" spans="1:18" x14ac:dyDescent="0.25">
      <c r="A346" s="1" t="s">
        <v>146</v>
      </c>
      <c r="B346" s="2">
        <v>45413</v>
      </c>
      <c r="C346" s="1" t="s">
        <v>58</v>
      </c>
      <c r="D346" s="1" t="s">
        <v>119</v>
      </c>
      <c r="E346" s="1" t="s">
        <v>72</v>
      </c>
      <c r="F346" s="1" t="s">
        <v>22</v>
      </c>
      <c r="G346" s="1" t="s">
        <v>117</v>
      </c>
      <c r="H346">
        <v>36</v>
      </c>
      <c r="I346" s="4">
        <v>579.41999999999996</v>
      </c>
      <c r="J346" s="4">
        <v>20859.12</v>
      </c>
      <c r="K346" s="6">
        <v>5</v>
      </c>
      <c r="L346" s="4">
        <v>19816.16</v>
      </c>
      <c r="M346" s="4">
        <v>12347.38</v>
      </c>
      <c r="N346" s="4">
        <v>7468.78</v>
      </c>
      <c r="O346" s="6">
        <v>37.69</v>
      </c>
      <c r="P346" s="1" t="s">
        <v>62</v>
      </c>
      <c r="Q346" s="1" t="s">
        <v>38</v>
      </c>
      <c r="R346" s="1" t="s">
        <v>26</v>
      </c>
    </row>
    <row r="347" spans="1:18" x14ac:dyDescent="0.25">
      <c r="A347" s="1" t="s">
        <v>103</v>
      </c>
      <c r="B347" s="2">
        <v>45250</v>
      </c>
      <c r="C347" s="1" t="s">
        <v>51</v>
      </c>
      <c r="D347" s="1" t="s">
        <v>91</v>
      </c>
      <c r="E347" s="1" t="s">
        <v>104</v>
      </c>
      <c r="F347" s="1" t="s">
        <v>81</v>
      </c>
      <c r="G347" s="1" t="s">
        <v>105</v>
      </c>
      <c r="H347">
        <v>6</v>
      </c>
      <c r="I347" s="4">
        <v>3469.95</v>
      </c>
      <c r="J347" s="4">
        <v>20819.7</v>
      </c>
      <c r="K347" s="6">
        <v>20</v>
      </c>
      <c r="L347" s="4">
        <v>16655.759999999998</v>
      </c>
      <c r="M347" s="4">
        <v>9486.59</v>
      </c>
      <c r="N347" s="4">
        <v>7169.17</v>
      </c>
      <c r="O347" s="6">
        <v>43.04</v>
      </c>
      <c r="P347" s="1" t="s">
        <v>44</v>
      </c>
      <c r="Q347" s="1" t="s">
        <v>106</v>
      </c>
      <c r="R347" s="1" t="s">
        <v>26</v>
      </c>
    </row>
    <row r="348" spans="1:18" x14ac:dyDescent="0.25">
      <c r="A348" s="1" t="s">
        <v>439</v>
      </c>
      <c r="B348" s="2">
        <v>45600</v>
      </c>
      <c r="C348" s="1" t="s">
        <v>51</v>
      </c>
      <c r="D348" s="1" t="s">
        <v>91</v>
      </c>
      <c r="E348" s="1" t="s">
        <v>53</v>
      </c>
      <c r="F348" s="1" t="s">
        <v>22</v>
      </c>
      <c r="G348" s="1" t="s">
        <v>40</v>
      </c>
      <c r="H348">
        <v>43</v>
      </c>
      <c r="I348" s="4">
        <v>481.52</v>
      </c>
      <c r="J348" s="4">
        <v>20705.36</v>
      </c>
      <c r="K348" s="6">
        <v>10</v>
      </c>
      <c r="L348" s="4">
        <v>18634.82</v>
      </c>
      <c r="M348" s="4">
        <v>12180.2</v>
      </c>
      <c r="N348" s="4">
        <v>6454.62</v>
      </c>
      <c r="O348" s="6">
        <v>34.64</v>
      </c>
      <c r="P348" s="1" t="s">
        <v>31</v>
      </c>
      <c r="Q348" s="1" t="s">
        <v>106</v>
      </c>
      <c r="R348" s="1" t="s">
        <v>26</v>
      </c>
    </row>
    <row r="349" spans="1:18" x14ac:dyDescent="0.25">
      <c r="A349" s="1" t="s">
        <v>325</v>
      </c>
      <c r="B349" s="2">
        <v>45486</v>
      </c>
      <c r="C349" s="1" t="s">
        <v>34</v>
      </c>
      <c r="D349" s="1" t="s">
        <v>172</v>
      </c>
      <c r="E349" s="1" t="s">
        <v>85</v>
      </c>
      <c r="F349" s="1" t="s">
        <v>54</v>
      </c>
      <c r="G349" s="1" t="s">
        <v>99</v>
      </c>
      <c r="H349">
        <v>11</v>
      </c>
      <c r="I349" s="4">
        <v>1872.01</v>
      </c>
      <c r="J349" s="4">
        <v>20592.11</v>
      </c>
      <c r="K349" s="6">
        <v>10</v>
      </c>
      <c r="L349" s="4">
        <v>18532.900000000001</v>
      </c>
      <c r="M349" s="4">
        <v>8354.26</v>
      </c>
      <c r="N349" s="4">
        <v>10178.64</v>
      </c>
      <c r="O349" s="6">
        <v>54.92</v>
      </c>
      <c r="P349" s="1" t="s">
        <v>62</v>
      </c>
      <c r="Q349" s="1" t="s">
        <v>106</v>
      </c>
      <c r="R349" s="1" t="s">
        <v>26</v>
      </c>
    </row>
    <row r="350" spans="1:18" x14ac:dyDescent="0.25">
      <c r="A350" s="1" t="s">
        <v>374</v>
      </c>
      <c r="B350" s="2">
        <v>45348</v>
      </c>
      <c r="C350" s="1" t="s">
        <v>19</v>
      </c>
      <c r="D350" s="1" t="s">
        <v>75</v>
      </c>
      <c r="E350" s="1" t="s">
        <v>85</v>
      </c>
      <c r="F350" s="1" t="s">
        <v>22</v>
      </c>
      <c r="G350" s="1" t="s">
        <v>124</v>
      </c>
      <c r="H350">
        <v>23</v>
      </c>
      <c r="I350" s="4">
        <v>889.12</v>
      </c>
      <c r="J350" s="4">
        <v>20449.759999999998</v>
      </c>
      <c r="K350" s="6">
        <v>25</v>
      </c>
      <c r="L350" s="4">
        <v>15337.32</v>
      </c>
      <c r="M350" s="4">
        <v>9577.86</v>
      </c>
      <c r="N350" s="4">
        <v>5759.46</v>
      </c>
      <c r="O350" s="6">
        <v>37.549999999999997</v>
      </c>
      <c r="P350" s="1" t="s">
        <v>31</v>
      </c>
      <c r="Q350" s="1" t="s">
        <v>63</v>
      </c>
      <c r="R350" s="1" t="s">
        <v>26</v>
      </c>
    </row>
    <row r="351" spans="1:18" x14ac:dyDescent="0.25">
      <c r="A351" s="1" t="s">
        <v>458</v>
      </c>
      <c r="B351" s="2">
        <v>45627</v>
      </c>
      <c r="C351" s="1" t="s">
        <v>58</v>
      </c>
      <c r="D351" s="1" t="s">
        <v>119</v>
      </c>
      <c r="E351" s="1" t="s">
        <v>80</v>
      </c>
      <c r="F351" s="1" t="s">
        <v>22</v>
      </c>
      <c r="G351" s="1" t="s">
        <v>40</v>
      </c>
      <c r="H351">
        <v>40</v>
      </c>
      <c r="I351" s="4">
        <v>505.32</v>
      </c>
      <c r="J351" s="4">
        <v>20212.8</v>
      </c>
      <c r="K351" s="6">
        <v>10</v>
      </c>
      <c r="L351" s="4">
        <v>18191.52</v>
      </c>
      <c r="M351" s="4">
        <v>10613.07</v>
      </c>
      <c r="N351" s="4">
        <v>7578.45</v>
      </c>
      <c r="O351" s="6">
        <v>41.66</v>
      </c>
      <c r="P351" s="1" t="s">
        <v>49</v>
      </c>
      <c r="Q351" s="1" t="s">
        <v>32</v>
      </c>
      <c r="R351" s="1" t="s">
        <v>26</v>
      </c>
    </row>
    <row r="352" spans="1:18" x14ac:dyDescent="0.25">
      <c r="A352" s="1" t="s">
        <v>327</v>
      </c>
      <c r="B352" s="2">
        <v>45421</v>
      </c>
      <c r="C352" s="1" t="s">
        <v>19</v>
      </c>
      <c r="D352" s="1" t="s">
        <v>159</v>
      </c>
      <c r="E352" s="1" t="s">
        <v>36</v>
      </c>
      <c r="F352" s="1" t="s">
        <v>81</v>
      </c>
      <c r="G352" s="1" t="s">
        <v>92</v>
      </c>
      <c r="H352">
        <v>4</v>
      </c>
      <c r="I352" s="4">
        <v>5019.1099999999997</v>
      </c>
      <c r="J352" s="4">
        <v>20076.439999999999</v>
      </c>
      <c r="K352" s="6">
        <v>25</v>
      </c>
      <c r="L352" s="4">
        <v>15057.33</v>
      </c>
      <c r="M352" s="4">
        <v>10241.56</v>
      </c>
      <c r="N352" s="4">
        <v>4815.7700000000004</v>
      </c>
      <c r="O352" s="6">
        <v>31.98</v>
      </c>
      <c r="P352" s="1" t="s">
        <v>62</v>
      </c>
      <c r="Q352" s="1" t="s">
        <v>56</v>
      </c>
      <c r="R352" s="1" t="s">
        <v>180</v>
      </c>
    </row>
    <row r="353" spans="1:18" x14ac:dyDescent="0.25">
      <c r="A353" s="1" t="s">
        <v>384</v>
      </c>
      <c r="B353" s="2">
        <v>45507</v>
      </c>
      <c r="C353" s="1" t="s">
        <v>19</v>
      </c>
      <c r="D353" s="1" t="s">
        <v>166</v>
      </c>
      <c r="E353" s="1" t="s">
        <v>85</v>
      </c>
      <c r="F353" s="1" t="s">
        <v>22</v>
      </c>
      <c r="G353" s="1" t="s">
        <v>94</v>
      </c>
      <c r="H353">
        <v>30</v>
      </c>
      <c r="I353" s="4">
        <v>652.08000000000004</v>
      </c>
      <c r="J353" s="4">
        <v>19562.400000000001</v>
      </c>
      <c r="K353" s="6">
        <v>0</v>
      </c>
      <c r="L353" s="4">
        <v>19562.400000000001</v>
      </c>
      <c r="M353" s="4">
        <v>10757.03</v>
      </c>
      <c r="N353" s="4">
        <v>8805.3700000000008</v>
      </c>
      <c r="O353" s="6">
        <v>45.01</v>
      </c>
      <c r="P353" s="1" t="s">
        <v>49</v>
      </c>
      <c r="Q353" s="1" t="s">
        <v>38</v>
      </c>
      <c r="R353" s="1" t="s">
        <v>26</v>
      </c>
    </row>
    <row r="354" spans="1:18" x14ac:dyDescent="0.25">
      <c r="A354" s="1" t="s">
        <v>69</v>
      </c>
      <c r="B354" s="2">
        <v>45391</v>
      </c>
      <c r="C354" s="1" t="s">
        <v>19</v>
      </c>
      <c r="D354" s="1" t="s">
        <v>20</v>
      </c>
      <c r="E354" s="1" t="s">
        <v>42</v>
      </c>
      <c r="F354" s="1" t="s">
        <v>22</v>
      </c>
      <c r="G354" s="1" t="s">
        <v>23</v>
      </c>
      <c r="H354">
        <v>42</v>
      </c>
      <c r="I354" s="4">
        <v>461</v>
      </c>
      <c r="J354" s="4">
        <v>19362</v>
      </c>
      <c r="K354" s="6">
        <v>10</v>
      </c>
      <c r="L354" s="4">
        <v>17425.8</v>
      </c>
      <c r="M354" s="4">
        <v>9243.16</v>
      </c>
      <c r="N354" s="4">
        <v>8182.64</v>
      </c>
      <c r="O354" s="6">
        <v>46.96</v>
      </c>
      <c r="P354" s="1" t="s">
        <v>24</v>
      </c>
      <c r="Q354" s="1" t="s">
        <v>63</v>
      </c>
      <c r="R354" s="1" t="s">
        <v>26</v>
      </c>
    </row>
    <row r="355" spans="1:18" x14ac:dyDescent="0.25">
      <c r="A355" s="1" t="s">
        <v>344</v>
      </c>
      <c r="B355" s="2">
        <v>45345</v>
      </c>
      <c r="C355" s="1" t="s">
        <v>19</v>
      </c>
      <c r="D355" s="1" t="s">
        <v>155</v>
      </c>
      <c r="E355" s="1" t="s">
        <v>85</v>
      </c>
      <c r="F355" s="1" t="s">
        <v>22</v>
      </c>
      <c r="G355" s="1" t="s">
        <v>43</v>
      </c>
      <c r="H355">
        <v>19</v>
      </c>
      <c r="I355" s="4">
        <v>1011.04</v>
      </c>
      <c r="J355" s="4">
        <v>19209.759999999998</v>
      </c>
      <c r="K355" s="6">
        <v>0</v>
      </c>
      <c r="L355" s="4">
        <v>19209.759999999998</v>
      </c>
      <c r="M355" s="4">
        <v>12403.54</v>
      </c>
      <c r="N355" s="4">
        <v>6806.22</v>
      </c>
      <c r="O355" s="6">
        <v>35.43</v>
      </c>
      <c r="P355" s="1" t="s">
        <v>62</v>
      </c>
      <c r="Q355" s="1" t="s">
        <v>106</v>
      </c>
      <c r="R355" s="1" t="s">
        <v>26</v>
      </c>
    </row>
    <row r="356" spans="1:18" x14ac:dyDescent="0.25">
      <c r="A356" s="1" t="s">
        <v>420</v>
      </c>
      <c r="B356" s="2">
        <v>44989</v>
      </c>
      <c r="C356" s="1" t="s">
        <v>19</v>
      </c>
      <c r="D356" s="1" t="s">
        <v>20</v>
      </c>
      <c r="E356" s="1" t="s">
        <v>42</v>
      </c>
      <c r="F356" s="1" t="s">
        <v>22</v>
      </c>
      <c r="G356" s="1" t="s">
        <v>170</v>
      </c>
      <c r="H356">
        <v>35</v>
      </c>
      <c r="I356" s="4">
        <v>543.66999999999996</v>
      </c>
      <c r="J356" s="4">
        <v>19028.45</v>
      </c>
      <c r="K356" s="6">
        <v>20</v>
      </c>
      <c r="L356" s="4">
        <v>15222.76</v>
      </c>
      <c r="M356" s="4">
        <v>7128.12</v>
      </c>
      <c r="N356" s="4">
        <v>8094.64</v>
      </c>
      <c r="O356" s="6">
        <v>53.17</v>
      </c>
      <c r="P356" s="1" t="s">
        <v>62</v>
      </c>
      <c r="Q356" s="1" t="s">
        <v>25</v>
      </c>
      <c r="R356" s="1" t="s">
        <v>26</v>
      </c>
    </row>
    <row r="357" spans="1:18" x14ac:dyDescent="0.25">
      <c r="A357" s="1" t="s">
        <v>219</v>
      </c>
      <c r="B357" s="2">
        <v>45043</v>
      </c>
      <c r="C357" s="1" t="s">
        <v>51</v>
      </c>
      <c r="D357" s="1" t="s">
        <v>91</v>
      </c>
      <c r="E357" s="1" t="s">
        <v>80</v>
      </c>
      <c r="F357" s="1" t="s">
        <v>47</v>
      </c>
      <c r="G357" s="1" t="s">
        <v>202</v>
      </c>
      <c r="H357">
        <v>17</v>
      </c>
      <c r="I357" s="4">
        <v>1117.6500000000001</v>
      </c>
      <c r="J357" s="4">
        <v>19000.05</v>
      </c>
      <c r="K357" s="6">
        <v>25</v>
      </c>
      <c r="L357" s="4">
        <v>14250.04</v>
      </c>
      <c r="M357" s="4">
        <v>7499.63</v>
      </c>
      <c r="N357" s="4">
        <v>6750.41</v>
      </c>
      <c r="O357" s="6">
        <v>47.37</v>
      </c>
      <c r="P357" s="1" t="s">
        <v>24</v>
      </c>
      <c r="Q357" s="1" t="s">
        <v>32</v>
      </c>
      <c r="R357" s="1" t="s">
        <v>26</v>
      </c>
    </row>
    <row r="358" spans="1:18" x14ac:dyDescent="0.25">
      <c r="A358" s="1" t="s">
        <v>553</v>
      </c>
      <c r="B358" s="2">
        <v>45567</v>
      </c>
      <c r="C358" s="1" t="s">
        <v>34</v>
      </c>
      <c r="D358" s="1" t="s">
        <v>35</v>
      </c>
      <c r="E358" s="1" t="s">
        <v>85</v>
      </c>
      <c r="F358" s="1" t="s">
        <v>29</v>
      </c>
      <c r="G358" s="1" t="s">
        <v>68</v>
      </c>
      <c r="H358">
        <v>6</v>
      </c>
      <c r="I358" s="4">
        <v>3165.26</v>
      </c>
      <c r="J358" s="4">
        <v>18991.560000000001</v>
      </c>
      <c r="K358" s="6">
        <v>10</v>
      </c>
      <c r="L358" s="4">
        <v>17092.400000000001</v>
      </c>
      <c r="M358" s="4">
        <v>11610.09</v>
      </c>
      <c r="N358" s="4">
        <v>5482.31</v>
      </c>
      <c r="O358" s="6">
        <v>32.07</v>
      </c>
      <c r="P358" s="1" t="s">
        <v>24</v>
      </c>
      <c r="Q358" s="1" t="s">
        <v>56</v>
      </c>
      <c r="R358" s="1" t="s">
        <v>26</v>
      </c>
    </row>
    <row r="359" spans="1:18" x14ac:dyDescent="0.25">
      <c r="A359" s="1" t="s">
        <v>194</v>
      </c>
      <c r="B359" s="2">
        <v>45066</v>
      </c>
      <c r="C359" s="1" t="s">
        <v>58</v>
      </c>
      <c r="D359" s="1" t="s">
        <v>150</v>
      </c>
      <c r="E359" s="1" t="s">
        <v>28</v>
      </c>
      <c r="F359" s="1" t="s">
        <v>29</v>
      </c>
      <c r="G359" s="1" t="s">
        <v>157</v>
      </c>
      <c r="H359">
        <v>10</v>
      </c>
      <c r="I359" s="4">
        <v>1880.24</v>
      </c>
      <c r="J359" s="4">
        <v>18802.400000000001</v>
      </c>
      <c r="K359" s="6">
        <v>20</v>
      </c>
      <c r="L359" s="4">
        <v>15041.92</v>
      </c>
      <c r="M359" s="4">
        <v>8310.24</v>
      </c>
      <c r="N359" s="4">
        <v>6731.68</v>
      </c>
      <c r="O359" s="6">
        <v>44.75</v>
      </c>
      <c r="P359" s="1" t="s">
        <v>24</v>
      </c>
      <c r="Q359" s="1" t="s">
        <v>38</v>
      </c>
      <c r="R359" s="1" t="s">
        <v>26</v>
      </c>
    </row>
    <row r="360" spans="1:18" x14ac:dyDescent="0.25">
      <c r="A360" s="1" t="s">
        <v>376</v>
      </c>
      <c r="B360" s="2">
        <v>45137</v>
      </c>
      <c r="C360" s="1" t="s">
        <v>19</v>
      </c>
      <c r="D360" s="1" t="s">
        <v>159</v>
      </c>
      <c r="E360" s="1" t="s">
        <v>42</v>
      </c>
      <c r="F360" s="1" t="s">
        <v>81</v>
      </c>
      <c r="G360" s="1" t="s">
        <v>186</v>
      </c>
      <c r="H360">
        <v>45</v>
      </c>
      <c r="I360" s="4">
        <v>409.23</v>
      </c>
      <c r="J360" s="4">
        <v>18415.349999999999</v>
      </c>
      <c r="K360" s="6">
        <v>25</v>
      </c>
      <c r="L360" s="4">
        <v>13811.51</v>
      </c>
      <c r="M360" s="4">
        <v>9153.5499999999993</v>
      </c>
      <c r="N360" s="4">
        <v>4657.96</v>
      </c>
      <c r="O360" s="6">
        <v>33.729999999999997</v>
      </c>
      <c r="P360" s="1" t="s">
        <v>31</v>
      </c>
      <c r="Q360" s="1" t="s">
        <v>25</v>
      </c>
      <c r="R360" s="1" t="s">
        <v>26</v>
      </c>
    </row>
    <row r="361" spans="1:18" x14ac:dyDescent="0.25">
      <c r="A361" s="1" t="s">
        <v>301</v>
      </c>
      <c r="B361" s="2">
        <v>45024</v>
      </c>
      <c r="C361" s="1" t="s">
        <v>51</v>
      </c>
      <c r="D361" s="1" t="s">
        <v>91</v>
      </c>
      <c r="E361" s="1" t="s">
        <v>72</v>
      </c>
      <c r="F361" s="1" t="s">
        <v>22</v>
      </c>
      <c r="G361" s="1" t="s">
        <v>117</v>
      </c>
      <c r="H361">
        <v>28</v>
      </c>
      <c r="I361" s="4">
        <v>657.11</v>
      </c>
      <c r="J361" s="4">
        <v>18399.080000000002</v>
      </c>
      <c r="K361" s="6">
        <v>0</v>
      </c>
      <c r="L361" s="4">
        <v>18399.080000000002</v>
      </c>
      <c r="M361" s="4">
        <v>9572.1200000000008</v>
      </c>
      <c r="N361" s="4">
        <v>8826.9599999999991</v>
      </c>
      <c r="O361" s="6">
        <v>47.98</v>
      </c>
      <c r="P361" s="1" t="s">
        <v>49</v>
      </c>
      <c r="Q361" s="1" t="s">
        <v>106</v>
      </c>
      <c r="R361" s="1" t="s">
        <v>26</v>
      </c>
    </row>
    <row r="362" spans="1:18" x14ac:dyDescent="0.25">
      <c r="A362" s="1" t="s">
        <v>232</v>
      </c>
      <c r="B362" s="2">
        <v>45540</v>
      </c>
      <c r="C362" s="1" t="s">
        <v>19</v>
      </c>
      <c r="D362" s="1" t="s">
        <v>166</v>
      </c>
      <c r="E362" s="1" t="s">
        <v>28</v>
      </c>
      <c r="F362" s="1" t="s">
        <v>22</v>
      </c>
      <c r="G362" s="1" t="s">
        <v>40</v>
      </c>
      <c r="H362">
        <v>43</v>
      </c>
      <c r="I362" s="4">
        <v>425.43</v>
      </c>
      <c r="J362" s="4">
        <v>18293.490000000002</v>
      </c>
      <c r="K362" s="6">
        <v>5</v>
      </c>
      <c r="L362" s="4">
        <v>17378.82</v>
      </c>
      <c r="M362" s="4">
        <v>9012.2900000000009</v>
      </c>
      <c r="N362" s="4">
        <v>8366.5300000000007</v>
      </c>
      <c r="O362" s="6">
        <v>48.14</v>
      </c>
      <c r="P362" s="1" t="s">
        <v>24</v>
      </c>
      <c r="Q362" s="1" t="s">
        <v>56</v>
      </c>
      <c r="R362" s="1" t="s">
        <v>26</v>
      </c>
    </row>
    <row r="363" spans="1:18" x14ac:dyDescent="0.25">
      <c r="A363" s="1" t="s">
        <v>335</v>
      </c>
      <c r="B363" s="2">
        <v>45311</v>
      </c>
      <c r="C363" s="1" t="s">
        <v>34</v>
      </c>
      <c r="D363" s="1" t="s">
        <v>35</v>
      </c>
      <c r="E363" s="1" t="s">
        <v>42</v>
      </c>
      <c r="F363" s="1" t="s">
        <v>22</v>
      </c>
      <c r="G363" s="1" t="s">
        <v>23</v>
      </c>
      <c r="H363">
        <v>29</v>
      </c>
      <c r="I363" s="4">
        <v>629.48</v>
      </c>
      <c r="J363" s="4">
        <v>18254.919999999998</v>
      </c>
      <c r="K363" s="6">
        <v>10</v>
      </c>
      <c r="L363" s="4">
        <v>16429.43</v>
      </c>
      <c r="M363" s="4">
        <v>9297.6</v>
      </c>
      <c r="N363" s="4">
        <v>7131.83</v>
      </c>
      <c r="O363" s="6">
        <v>43.41</v>
      </c>
      <c r="P363" s="1" t="s">
        <v>62</v>
      </c>
      <c r="Q363" s="1" t="s">
        <v>106</v>
      </c>
      <c r="R363" s="1" t="s">
        <v>26</v>
      </c>
    </row>
    <row r="364" spans="1:18" x14ac:dyDescent="0.25">
      <c r="A364" s="1" t="s">
        <v>409</v>
      </c>
      <c r="B364" s="2">
        <v>44928</v>
      </c>
      <c r="C364" s="1" t="s">
        <v>34</v>
      </c>
      <c r="D364" s="1" t="s">
        <v>46</v>
      </c>
      <c r="E364" s="1" t="s">
        <v>129</v>
      </c>
      <c r="F364" s="1" t="s">
        <v>22</v>
      </c>
      <c r="G364" s="1" t="s">
        <v>124</v>
      </c>
      <c r="H364">
        <v>20</v>
      </c>
      <c r="I364" s="4">
        <v>902.07</v>
      </c>
      <c r="J364" s="4">
        <v>18041.400000000001</v>
      </c>
      <c r="K364" s="6">
        <v>10</v>
      </c>
      <c r="L364" s="4">
        <v>16237.26</v>
      </c>
      <c r="M364" s="4">
        <v>7115.24</v>
      </c>
      <c r="N364" s="4">
        <v>9122.02</v>
      </c>
      <c r="O364" s="6">
        <v>56.18</v>
      </c>
      <c r="P364" s="1" t="s">
        <v>31</v>
      </c>
      <c r="Q364" s="1" t="s">
        <v>32</v>
      </c>
      <c r="R364" s="1" t="s">
        <v>26</v>
      </c>
    </row>
    <row r="365" spans="1:18" x14ac:dyDescent="0.25">
      <c r="A365" s="1" t="s">
        <v>368</v>
      </c>
      <c r="B365" s="2">
        <v>45423</v>
      </c>
      <c r="C365" s="1" t="s">
        <v>58</v>
      </c>
      <c r="D365" s="1" t="s">
        <v>126</v>
      </c>
      <c r="E365" s="1" t="s">
        <v>36</v>
      </c>
      <c r="F365" s="1" t="s">
        <v>54</v>
      </c>
      <c r="G365" s="1" t="s">
        <v>55</v>
      </c>
      <c r="H365">
        <v>19</v>
      </c>
      <c r="I365" s="4">
        <v>943.72</v>
      </c>
      <c r="J365" s="4">
        <v>17930.68</v>
      </c>
      <c r="K365" s="6">
        <v>20</v>
      </c>
      <c r="L365" s="4">
        <v>14344.54</v>
      </c>
      <c r="M365" s="4">
        <v>6299.81</v>
      </c>
      <c r="N365" s="4">
        <v>8044.73</v>
      </c>
      <c r="O365" s="6">
        <v>56.08</v>
      </c>
      <c r="P365" s="1" t="s">
        <v>44</v>
      </c>
      <c r="Q365" s="1" t="s">
        <v>63</v>
      </c>
      <c r="R365" s="1" t="s">
        <v>26</v>
      </c>
    </row>
    <row r="366" spans="1:18" x14ac:dyDescent="0.25">
      <c r="A366" s="1" t="s">
        <v>240</v>
      </c>
      <c r="B366" s="2">
        <v>45379</v>
      </c>
      <c r="C366" s="1" t="s">
        <v>58</v>
      </c>
      <c r="D366" s="1" t="s">
        <v>119</v>
      </c>
      <c r="E366" s="1" t="s">
        <v>72</v>
      </c>
      <c r="F366" s="1" t="s">
        <v>22</v>
      </c>
      <c r="G366" s="1" t="s">
        <v>170</v>
      </c>
      <c r="H366">
        <v>41</v>
      </c>
      <c r="I366" s="4">
        <v>434.08</v>
      </c>
      <c r="J366" s="4">
        <v>17797.28</v>
      </c>
      <c r="K366" s="6">
        <v>15</v>
      </c>
      <c r="L366" s="4">
        <v>15127.69</v>
      </c>
      <c r="M366" s="4">
        <v>6360.98</v>
      </c>
      <c r="N366" s="4">
        <v>8766.7099999999991</v>
      </c>
      <c r="O366" s="6">
        <v>57.95</v>
      </c>
      <c r="P366" s="1" t="s">
        <v>44</v>
      </c>
      <c r="Q366" s="1" t="s">
        <v>38</v>
      </c>
      <c r="R366" s="1" t="s">
        <v>26</v>
      </c>
    </row>
    <row r="367" spans="1:18" x14ac:dyDescent="0.25">
      <c r="A367" s="1" t="s">
        <v>221</v>
      </c>
      <c r="B367" s="2">
        <v>45002</v>
      </c>
      <c r="C367" s="1" t="s">
        <v>19</v>
      </c>
      <c r="D367" s="1" t="s">
        <v>20</v>
      </c>
      <c r="E367" s="1" t="s">
        <v>129</v>
      </c>
      <c r="F367" s="1" t="s">
        <v>54</v>
      </c>
      <c r="G367" s="1" t="s">
        <v>144</v>
      </c>
      <c r="H367">
        <v>44</v>
      </c>
      <c r="I367" s="4">
        <v>403.71</v>
      </c>
      <c r="J367" s="4">
        <v>17763.240000000002</v>
      </c>
      <c r="K367" s="6">
        <v>25</v>
      </c>
      <c r="L367" s="4">
        <v>13322.43</v>
      </c>
      <c r="M367" s="4">
        <v>8964.7999999999993</v>
      </c>
      <c r="N367" s="4">
        <v>4357.63</v>
      </c>
      <c r="O367" s="6">
        <v>32.71</v>
      </c>
      <c r="P367" s="1" t="s">
        <v>24</v>
      </c>
      <c r="Q367" s="1" t="s">
        <v>38</v>
      </c>
      <c r="R367" s="1" t="s">
        <v>26</v>
      </c>
    </row>
    <row r="368" spans="1:18" x14ac:dyDescent="0.25">
      <c r="A368" s="1" t="s">
        <v>481</v>
      </c>
      <c r="B368" s="2">
        <v>45176</v>
      </c>
      <c r="C368" s="1" t="s">
        <v>19</v>
      </c>
      <c r="D368" s="1" t="s">
        <v>20</v>
      </c>
      <c r="E368" s="1" t="s">
        <v>85</v>
      </c>
      <c r="F368" s="1" t="s">
        <v>22</v>
      </c>
      <c r="G368" s="1" t="s">
        <v>170</v>
      </c>
      <c r="H368">
        <v>16</v>
      </c>
      <c r="I368" s="4">
        <v>1093.04</v>
      </c>
      <c r="J368" s="4">
        <v>17488.64</v>
      </c>
      <c r="K368" s="6">
        <v>20</v>
      </c>
      <c r="L368" s="4">
        <v>13990.91</v>
      </c>
      <c r="M368" s="4">
        <v>9452.01</v>
      </c>
      <c r="N368" s="4">
        <v>4538.8999999999996</v>
      </c>
      <c r="O368" s="6">
        <v>32.44</v>
      </c>
      <c r="P368" s="1" t="s">
        <v>24</v>
      </c>
      <c r="Q368" s="1" t="s">
        <v>63</v>
      </c>
      <c r="R368" s="1" t="s">
        <v>26</v>
      </c>
    </row>
    <row r="369" spans="1:18" x14ac:dyDescent="0.25">
      <c r="A369" s="1" t="s">
        <v>324</v>
      </c>
      <c r="B369" s="2">
        <v>45178</v>
      </c>
      <c r="C369" s="1" t="s">
        <v>19</v>
      </c>
      <c r="D369" s="1" t="s">
        <v>166</v>
      </c>
      <c r="E369" s="1" t="s">
        <v>139</v>
      </c>
      <c r="F369" s="1" t="s">
        <v>81</v>
      </c>
      <c r="G369" s="1" t="s">
        <v>178</v>
      </c>
      <c r="H369">
        <v>10</v>
      </c>
      <c r="I369" s="4">
        <v>1730.3</v>
      </c>
      <c r="J369" s="4">
        <v>17303</v>
      </c>
      <c r="K369" s="6">
        <v>5</v>
      </c>
      <c r="L369" s="4">
        <v>16437.849999999999</v>
      </c>
      <c r="M369" s="4">
        <v>8448.26</v>
      </c>
      <c r="N369" s="4">
        <v>7989.59</v>
      </c>
      <c r="O369" s="6">
        <v>48.6</v>
      </c>
      <c r="P369" s="1" t="s">
        <v>62</v>
      </c>
      <c r="Q369" s="1" t="s">
        <v>25</v>
      </c>
      <c r="R369" s="1" t="s">
        <v>26</v>
      </c>
    </row>
    <row r="370" spans="1:18" x14ac:dyDescent="0.25">
      <c r="A370" s="1" t="s">
        <v>379</v>
      </c>
      <c r="B370" s="2">
        <v>45570</v>
      </c>
      <c r="C370" s="1" t="s">
        <v>19</v>
      </c>
      <c r="D370" s="1" t="s">
        <v>166</v>
      </c>
      <c r="E370" s="1" t="s">
        <v>53</v>
      </c>
      <c r="F370" s="1" t="s">
        <v>29</v>
      </c>
      <c r="G370" s="1" t="s">
        <v>142</v>
      </c>
      <c r="H370">
        <v>4</v>
      </c>
      <c r="I370" s="4">
        <v>4281.8900000000003</v>
      </c>
      <c r="J370" s="4">
        <v>17127.560000000001</v>
      </c>
      <c r="K370" s="6">
        <v>15</v>
      </c>
      <c r="L370" s="4">
        <v>14558.43</v>
      </c>
      <c r="M370" s="4">
        <v>8036.01</v>
      </c>
      <c r="N370" s="4">
        <v>6522.42</v>
      </c>
      <c r="O370" s="6">
        <v>44.8</v>
      </c>
      <c r="P370" s="1" t="s">
        <v>31</v>
      </c>
      <c r="Q370" s="1" t="s">
        <v>32</v>
      </c>
      <c r="R370" s="1" t="s">
        <v>26</v>
      </c>
    </row>
    <row r="371" spans="1:18" x14ac:dyDescent="0.25">
      <c r="A371" s="1" t="s">
        <v>143</v>
      </c>
      <c r="B371" s="2">
        <v>45036</v>
      </c>
      <c r="C371" s="1" t="s">
        <v>51</v>
      </c>
      <c r="D371" s="1" t="s">
        <v>52</v>
      </c>
      <c r="E371" s="1" t="s">
        <v>21</v>
      </c>
      <c r="F371" s="1" t="s">
        <v>54</v>
      </c>
      <c r="G371" s="1" t="s">
        <v>144</v>
      </c>
      <c r="H371">
        <v>10</v>
      </c>
      <c r="I371" s="4">
        <v>1691.74</v>
      </c>
      <c r="J371" s="4">
        <v>16917.400000000001</v>
      </c>
      <c r="K371" s="6">
        <v>0</v>
      </c>
      <c r="L371" s="4">
        <v>16917.400000000001</v>
      </c>
      <c r="M371" s="4">
        <v>11297.41</v>
      </c>
      <c r="N371" s="4">
        <v>5619.99</v>
      </c>
      <c r="O371" s="6">
        <v>33.22</v>
      </c>
      <c r="P371" s="1" t="s">
        <v>62</v>
      </c>
      <c r="Q371" s="1" t="s">
        <v>106</v>
      </c>
      <c r="R371" s="1" t="s">
        <v>26</v>
      </c>
    </row>
    <row r="372" spans="1:18" x14ac:dyDescent="0.25">
      <c r="A372" s="1" t="s">
        <v>123</v>
      </c>
      <c r="B372" s="2">
        <v>44952</v>
      </c>
      <c r="C372" s="1" t="s">
        <v>58</v>
      </c>
      <c r="D372" s="1" t="s">
        <v>119</v>
      </c>
      <c r="E372" s="1" t="s">
        <v>53</v>
      </c>
      <c r="F372" s="1" t="s">
        <v>22</v>
      </c>
      <c r="G372" s="1" t="s">
        <v>124</v>
      </c>
      <c r="H372">
        <v>16</v>
      </c>
      <c r="I372" s="4">
        <v>1048.3599999999999</v>
      </c>
      <c r="J372" s="4">
        <v>16773.759999999998</v>
      </c>
      <c r="K372" s="6">
        <v>5</v>
      </c>
      <c r="L372" s="4">
        <v>15935.07</v>
      </c>
      <c r="M372" s="4">
        <v>10587.66</v>
      </c>
      <c r="N372" s="4">
        <v>5347.41</v>
      </c>
      <c r="O372" s="6">
        <v>33.56</v>
      </c>
      <c r="P372" s="1" t="s">
        <v>49</v>
      </c>
      <c r="Q372" s="1" t="s">
        <v>63</v>
      </c>
      <c r="R372" s="1" t="s">
        <v>26</v>
      </c>
    </row>
    <row r="373" spans="1:18" x14ac:dyDescent="0.25">
      <c r="A373" s="1" t="s">
        <v>430</v>
      </c>
      <c r="B373" s="2">
        <v>45304</v>
      </c>
      <c r="C373" s="1" t="s">
        <v>51</v>
      </c>
      <c r="D373" s="1" t="s">
        <v>88</v>
      </c>
      <c r="E373" s="1" t="s">
        <v>85</v>
      </c>
      <c r="F373" s="1" t="s">
        <v>29</v>
      </c>
      <c r="G373" s="1" t="s">
        <v>142</v>
      </c>
      <c r="H373">
        <v>4</v>
      </c>
      <c r="I373" s="4">
        <v>4151.63</v>
      </c>
      <c r="J373" s="4">
        <v>16606.52</v>
      </c>
      <c r="K373" s="6">
        <v>25</v>
      </c>
      <c r="L373" s="4">
        <v>12454.89</v>
      </c>
      <c r="M373" s="4">
        <v>5725.92</v>
      </c>
      <c r="N373" s="4">
        <v>6728.97</v>
      </c>
      <c r="O373" s="6">
        <v>54.03</v>
      </c>
      <c r="P373" s="1" t="s">
        <v>62</v>
      </c>
      <c r="Q373" s="1" t="s">
        <v>25</v>
      </c>
      <c r="R373" s="1" t="s">
        <v>26</v>
      </c>
    </row>
    <row r="374" spans="1:18" x14ac:dyDescent="0.25">
      <c r="A374" s="1" t="s">
        <v>502</v>
      </c>
      <c r="B374" s="2">
        <v>45048</v>
      </c>
      <c r="C374" s="1" t="s">
        <v>51</v>
      </c>
      <c r="D374" s="1" t="s">
        <v>88</v>
      </c>
      <c r="E374" s="1" t="s">
        <v>21</v>
      </c>
      <c r="F374" s="1" t="s">
        <v>81</v>
      </c>
      <c r="G374" s="1" t="s">
        <v>186</v>
      </c>
      <c r="H374">
        <v>10</v>
      </c>
      <c r="I374" s="4">
        <v>1657.86</v>
      </c>
      <c r="J374" s="4">
        <v>16578.599999999999</v>
      </c>
      <c r="K374" s="6">
        <v>10</v>
      </c>
      <c r="L374" s="4">
        <v>14920.74</v>
      </c>
      <c r="M374" s="4">
        <v>8663.07</v>
      </c>
      <c r="N374" s="4">
        <v>6257.67</v>
      </c>
      <c r="O374" s="6">
        <v>41.94</v>
      </c>
      <c r="P374" s="1" t="s">
        <v>49</v>
      </c>
      <c r="Q374" s="1" t="s">
        <v>32</v>
      </c>
      <c r="R374" s="1" t="s">
        <v>26</v>
      </c>
    </row>
    <row r="375" spans="1:18" x14ac:dyDescent="0.25">
      <c r="A375" s="1" t="s">
        <v>577</v>
      </c>
      <c r="B375" s="2">
        <v>45014</v>
      </c>
      <c r="C375" s="1" t="s">
        <v>58</v>
      </c>
      <c r="D375" s="1" t="s">
        <v>119</v>
      </c>
      <c r="E375" s="1" t="s">
        <v>76</v>
      </c>
      <c r="F375" s="1" t="s">
        <v>29</v>
      </c>
      <c r="G375" s="1" t="s">
        <v>157</v>
      </c>
      <c r="H375">
        <v>15</v>
      </c>
      <c r="I375" s="4">
        <v>1098.6600000000001</v>
      </c>
      <c r="J375" s="4">
        <v>16479.900000000001</v>
      </c>
      <c r="K375" s="6">
        <v>10</v>
      </c>
      <c r="L375" s="4">
        <v>14831.91</v>
      </c>
      <c r="M375" s="4">
        <v>6626.86</v>
      </c>
      <c r="N375" s="4">
        <v>8205.0499999999993</v>
      </c>
      <c r="O375" s="6">
        <v>55.32</v>
      </c>
      <c r="P375" s="1" t="s">
        <v>24</v>
      </c>
      <c r="Q375" s="1" t="s">
        <v>63</v>
      </c>
      <c r="R375" s="1" t="s">
        <v>26</v>
      </c>
    </row>
    <row r="376" spans="1:18" x14ac:dyDescent="0.25">
      <c r="A376" s="1" t="s">
        <v>33</v>
      </c>
      <c r="B376" s="2">
        <v>45316</v>
      </c>
      <c r="C376" s="1" t="s">
        <v>34</v>
      </c>
      <c r="D376" s="1" t="s">
        <v>20</v>
      </c>
      <c r="E376" s="1" t="s">
        <v>36</v>
      </c>
      <c r="F376" s="1" t="s">
        <v>29</v>
      </c>
      <c r="G376" s="1" t="s">
        <v>37</v>
      </c>
      <c r="H376">
        <v>18</v>
      </c>
      <c r="I376" s="4">
        <v>910.79</v>
      </c>
      <c r="J376" s="4">
        <v>16394.22</v>
      </c>
      <c r="K376" s="6">
        <v>10</v>
      </c>
      <c r="L376" s="4">
        <v>14754.8</v>
      </c>
      <c r="M376" s="4">
        <v>6354.35</v>
      </c>
      <c r="N376" s="4">
        <v>8400.4500000000007</v>
      </c>
      <c r="O376" s="6">
        <v>56.93</v>
      </c>
      <c r="P376" s="1" t="s">
        <v>24</v>
      </c>
      <c r="Q376" s="1" t="s">
        <v>38</v>
      </c>
      <c r="R376" s="1" t="s">
        <v>26</v>
      </c>
    </row>
    <row r="377" spans="1:18" x14ac:dyDescent="0.25">
      <c r="A377" s="1" t="s">
        <v>416</v>
      </c>
      <c r="B377" s="2">
        <v>45512</v>
      </c>
      <c r="C377" s="1" t="s">
        <v>51</v>
      </c>
      <c r="D377" s="1" t="s">
        <v>98</v>
      </c>
      <c r="E377" s="1" t="s">
        <v>112</v>
      </c>
      <c r="F377" s="1" t="s">
        <v>54</v>
      </c>
      <c r="G377" s="1" t="s">
        <v>55</v>
      </c>
      <c r="H377">
        <v>19</v>
      </c>
      <c r="I377" s="4">
        <v>848.89</v>
      </c>
      <c r="J377" s="4">
        <v>16128.91</v>
      </c>
      <c r="K377" s="6">
        <v>0</v>
      </c>
      <c r="L377" s="4">
        <v>16128.91</v>
      </c>
      <c r="M377" s="4">
        <v>6691.73</v>
      </c>
      <c r="N377" s="4">
        <v>9437.18</v>
      </c>
      <c r="O377" s="6">
        <v>58.51</v>
      </c>
      <c r="P377" s="1" t="s">
        <v>31</v>
      </c>
      <c r="Q377" s="1" t="s">
        <v>32</v>
      </c>
      <c r="R377" s="1" t="s">
        <v>26</v>
      </c>
    </row>
    <row r="378" spans="1:18" x14ac:dyDescent="0.25">
      <c r="A378" s="1" t="s">
        <v>275</v>
      </c>
      <c r="B378" s="2">
        <v>45458</v>
      </c>
      <c r="C378" s="1" t="s">
        <v>19</v>
      </c>
      <c r="D378" s="1" t="s">
        <v>20</v>
      </c>
      <c r="E378" s="1" t="s">
        <v>139</v>
      </c>
      <c r="F378" s="1" t="s">
        <v>81</v>
      </c>
      <c r="G378" s="1" t="s">
        <v>82</v>
      </c>
      <c r="H378">
        <v>11</v>
      </c>
      <c r="I378" s="4">
        <v>1463.34</v>
      </c>
      <c r="J378" s="4">
        <v>16096.74</v>
      </c>
      <c r="K378" s="6">
        <v>25</v>
      </c>
      <c r="L378" s="4">
        <v>12072.56</v>
      </c>
      <c r="M378" s="4">
        <v>5645.63</v>
      </c>
      <c r="N378" s="4">
        <v>6426.93</v>
      </c>
      <c r="O378" s="6">
        <v>53.24</v>
      </c>
      <c r="P378" s="1" t="s">
        <v>44</v>
      </c>
      <c r="Q378" s="1" t="s">
        <v>56</v>
      </c>
      <c r="R378" s="1" t="s">
        <v>26</v>
      </c>
    </row>
    <row r="379" spans="1:18" x14ac:dyDescent="0.25">
      <c r="A379" s="1" t="s">
        <v>527</v>
      </c>
      <c r="B379" s="2">
        <v>45629</v>
      </c>
      <c r="C379" s="1" t="s">
        <v>51</v>
      </c>
      <c r="D379" s="1" t="s">
        <v>88</v>
      </c>
      <c r="E379" s="1" t="s">
        <v>85</v>
      </c>
      <c r="F379" s="1" t="s">
        <v>81</v>
      </c>
      <c r="G379" s="1" t="s">
        <v>178</v>
      </c>
      <c r="H379">
        <v>35</v>
      </c>
      <c r="I379" s="4">
        <v>453.99</v>
      </c>
      <c r="J379" s="4">
        <v>15889.65</v>
      </c>
      <c r="K379" s="6">
        <v>10</v>
      </c>
      <c r="L379" s="4">
        <v>14300.68</v>
      </c>
      <c r="M379" s="4">
        <v>7409.4</v>
      </c>
      <c r="N379" s="4">
        <v>6891.28</v>
      </c>
      <c r="O379" s="6">
        <v>48.19</v>
      </c>
      <c r="P379" s="1" t="s">
        <v>49</v>
      </c>
      <c r="Q379" s="1" t="s">
        <v>32</v>
      </c>
      <c r="R379" s="1" t="s">
        <v>26</v>
      </c>
    </row>
    <row r="380" spans="1:18" x14ac:dyDescent="0.25">
      <c r="A380" s="1" t="s">
        <v>582</v>
      </c>
      <c r="B380" s="2">
        <v>45239</v>
      </c>
      <c r="C380" s="1" t="s">
        <v>19</v>
      </c>
      <c r="D380" s="1" t="s">
        <v>159</v>
      </c>
      <c r="E380" s="1" t="s">
        <v>28</v>
      </c>
      <c r="F380" s="1" t="s">
        <v>29</v>
      </c>
      <c r="G380" s="1" t="s">
        <v>157</v>
      </c>
      <c r="H380">
        <v>46</v>
      </c>
      <c r="I380" s="4">
        <v>341.33</v>
      </c>
      <c r="J380" s="4">
        <v>15701.18</v>
      </c>
      <c r="K380" s="6">
        <v>5</v>
      </c>
      <c r="L380" s="4">
        <v>14916.12</v>
      </c>
      <c r="M380" s="4">
        <v>10093.459999999999</v>
      </c>
      <c r="N380" s="4">
        <v>4822.66</v>
      </c>
      <c r="O380" s="6">
        <v>32.33</v>
      </c>
      <c r="P380" s="1" t="s">
        <v>44</v>
      </c>
      <c r="Q380" s="1" t="s">
        <v>32</v>
      </c>
      <c r="R380" s="1" t="s">
        <v>26</v>
      </c>
    </row>
    <row r="381" spans="1:18" x14ac:dyDescent="0.25">
      <c r="A381" s="1" t="s">
        <v>259</v>
      </c>
      <c r="B381" s="2">
        <v>45280</v>
      </c>
      <c r="C381" s="1" t="s">
        <v>58</v>
      </c>
      <c r="D381" s="1" t="s">
        <v>79</v>
      </c>
      <c r="E381" s="1" t="s">
        <v>36</v>
      </c>
      <c r="F381" s="1" t="s">
        <v>22</v>
      </c>
      <c r="G381" s="1" t="s">
        <v>117</v>
      </c>
      <c r="H381">
        <v>17</v>
      </c>
      <c r="I381" s="4">
        <v>916.99</v>
      </c>
      <c r="J381" s="4">
        <v>15588.83</v>
      </c>
      <c r="K381" s="6">
        <v>10</v>
      </c>
      <c r="L381" s="4">
        <v>14029.95</v>
      </c>
      <c r="M381" s="4">
        <v>8930.85</v>
      </c>
      <c r="N381" s="4">
        <v>5099.1000000000004</v>
      </c>
      <c r="O381" s="6">
        <v>36.340000000000003</v>
      </c>
      <c r="P381" s="1" t="s">
        <v>49</v>
      </c>
      <c r="Q381" s="1" t="s">
        <v>63</v>
      </c>
      <c r="R381" s="1" t="s">
        <v>26</v>
      </c>
    </row>
    <row r="382" spans="1:18" x14ac:dyDescent="0.25">
      <c r="A382" s="1" t="s">
        <v>269</v>
      </c>
      <c r="B382" s="2">
        <v>45146</v>
      </c>
      <c r="C382" s="1" t="s">
        <v>19</v>
      </c>
      <c r="D382" s="1" t="s">
        <v>159</v>
      </c>
      <c r="E382" s="1" t="s">
        <v>53</v>
      </c>
      <c r="F382" s="1" t="s">
        <v>54</v>
      </c>
      <c r="G382" s="1" t="s">
        <v>144</v>
      </c>
      <c r="H382">
        <v>36</v>
      </c>
      <c r="I382" s="4">
        <v>426.74</v>
      </c>
      <c r="J382" s="4">
        <v>15362.64</v>
      </c>
      <c r="K382" s="6">
        <v>10</v>
      </c>
      <c r="L382" s="4">
        <v>13826.38</v>
      </c>
      <c r="M382" s="4">
        <v>8450.84</v>
      </c>
      <c r="N382" s="4">
        <v>5375.54</v>
      </c>
      <c r="O382" s="6">
        <v>38.880000000000003</v>
      </c>
      <c r="P382" s="1" t="s">
        <v>31</v>
      </c>
      <c r="Q382" s="1" t="s">
        <v>38</v>
      </c>
      <c r="R382" s="1" t="s">
        <v>26</v>
      </c>
    </row>
    <row r="383" spans="1:18" x14ac:dyDescent="0.25">
      <c r="A383" s="1" t="s">
        <v>313</v>
      </c>
      <c r="B383" s="2">
        <v>44976</v>
      </c>
      <c r="C383" s="1" t="s">
        <v>19</v>
      </c>
      <c r="D383" s="1" t="s">
        <v>159</v>
      </c>
      <c r="E383" s="1" t="s">
        <v>120</v>
      </c>
      <c r="F383" s="1" t="s">
        <v>29</v>
      </c>
      <c r="G383" s="1" t="s">
        <v>73</v>
      </c>
      <c r="H383">
        <v>39</v>
      </c>
      <c r="I383" s="4">
        <v>392.7</v>
      </c>
      <c r="J383" s="4">
        <v>15315.3</v>
      </c>
      <c r="K383" s="6">
        <v>20</v>
      </c>
      <c r="L383" s="4">
        <v>12252.24</v>
      </c>
      <c r="M383" s="4">
        <v>7371.03</v>
      </c>
      <c r="N383" s="4">
        <v>4881.21</v>
      </c>
      <c r="O383" s="6">
        <v>39.840000000000003</v>
      </c>
      <c r="P383" s="1" t="s">
        <v>49</v>
      </c>
      <c r="Q383" s="1" t="s">
        <v>63</v>
      </c>
      <c r="R383" s="1" t="s">
        <v>180</v>
      </c>
    </row>
    <row r="384" spans="1:18" x14ac:dyDescent="0.25">
      <c r="A384" s="1" t="s">
        <v>493</v>
      </c>
      <c r="B384" s="2">
        <v>45583</v>
      </c>
      <c r="C384" s="1" t="s">
        <v>34</v>
      </c>
      <c r="D384" s="1" t="s">
        <v>172</v>
      </c>
      <c r="E384" s="1" t="s">
        <v>76</v>
      </c>
      <c r="F384" s="1" t="s">
        <v>54</v>
      </c>
      <c r="G384" s="1" t="s">
        <v>102</v>
      </c>
      <c r="H384">
        <v>21</v>
      </c>
      <c r="I384" s="4">
        <v>728.51</v>
      </c>
      <c r="J384" s="4">
        <v>15298.71</v>
      </c>
      <c r="K384" s="6">
        <v>5</v>
      </c>
      <c r="L384" s="4">
        <v>14533.77</v>
      </c>
      <c r="M384" s="4">
        <v>8918.7900000000009</v>
      </c>
      <c r="N384" s="4">
        <v>5614.98</v>
      </c>
      <c r="O384" s="6">
        <v>38.630000000000003</v>
      </c>
      <c r="P384" s="1" t="s">
        <v>62</v>
      </c>
      <c r="Q384" s="1" t="s">
        <v>38</v>
      </c>
      <c r="R384" s="1" t="s">
        <v>26</v>
      </c>
    </row>
    <row r="385" spans="1:18" x14ac:dyDescent="0.25">
      <c r="A385" s="1" t="s">
        <v>522</v>
      </c>
      <c r="B385" s="2">
        <v>45288</v>
      </c>
      <c r="C385" s="1" t="s">
        <v>19</v>
      </c>
      <c r="D385" s="1" t="s">
        <v>155</v>
      </c>
      <c r="E385" s="1" t="s">
        <v>112</v>
      </c>
      <c r="F385" s="1" t="s">
        <v>22</v>
      </c>
      <c r="G385" s="1" t="s">
        <v>43</v>
      </c>
      <c r="H385">
        <v>45</v>
      </c>
      <c r="I385" s="4">
        <v>337.52</v>
      </c>
      <c r="J385" s="4">
        <v>15188.4</v>
      </c>
      <c r="K385" s="6">
        <v>10</v>
      </c>
      <c r="L385" s="4">
        <v>13669.56</v>
      </c>
      <c r="M385" s="4">
        <v>7159.13</v>
      </c>
      <c r="N385" s="4">
        <v>6510.43</v>
      </c>
      <c r="O385" s="6">
        <v>47.63</v>
      </c>
      <c r="P385" s="1" t="s">
        <v>31</v>
      </c>
      <c r="Q385" s="1" t="s">
        <v>25</v>
      </c>
      <c r="R385" s="1" t="s">
        <v>180</v>
      </c>
    </row>
    <row r="386" spans="1:18" x14ac:dyDescent="0.25">
      <c r="A386" s="1" t="s">
        <v>562</v>
      </c>
      <c r="B386" s="2">
        <v>45238</v>
      </c>
      <c r="C386" s="1" t="s">
        <v>58</v>
      </c>
      <c r="D386" s="1" t="s">
        <v>59</v>
      </c>
      <c r="E386" s="1" t="s">
        <v>72</v>
      </c>
      <c r="F386" s="1" t="s">
        <v>22</v>
      </c>
      <c r="G386" s="1" t="s">
        <v>113</v>
      </c>
      <c r="H386">
        <v>40</v>
      </c>
      <c r="I386" s="4">
        <v>377.71</v>
      </c>
      <c r="J386" s="4">
        <v>15108.4</v>
      </c>
      <c r="K386" s="6">
        <v>0</v>
      </c>
      <c r="L386" s="4">
        <v>15108.4</v>
      </c>
      <c r="M386" s="4">
        <v>9371.59</v>
      </c>
      <c r="N386" s="4">
        <v>5736.81</v>
      </c>
      <c r="O386" s="6">
        <v>37.97</v>
      </c>
      <c r="P386" s="1" t="s">
        <v>24</v>
      </c>
      <c r="Q386" s="1" t="s">
        <v>106</v>
      </c>
      <c r="R386" s="1" t="s">
        <v>26</v>
      </c>
    </row>
    <row r="387" spans="1:18" x14ac:dyDescent="0.25">
      <c r="A387" s="1" t="s">
        <v>300</v>
      </c>
      <c r="B387" s="2">
        <v>45229</v>
      </c>
      <c r="C387" s="1" t="s">
        <v>34</v>
      </c>
      <c r="D387" s="1" t="s">
        <v>46</v>
      </c>
      <c r="E387" s="1" t="s">
        <v>112</v>
      </c>
      <c r="F387" s="1" t="s">
        <v>22</v>
      </c>
      <c r="G387" s="1" t="s">
        <v>40</v>
      </c>
      <c r="H387">
        <v>17</v>
      </c>
      <c r="I387" s="4">
        <v>884.83</v>
      </c>
      <c r="J387" s="4">
        <v>15042.11</v>
      </c>
      <c r="K387" s="6">
        <v>0</v>
      </c>
      <c r="L387" s="4">
        <v>15042.11</v>
      </c>
      <c r="M387" s="4">
        <v>9340.93</v>
      </c>
      <c r="N387" s="4">
        <v>5701.18</v>
      </c>
      <c r="O387" s="6">
        <v>37.9</v>
      </c>
      <c r="P387" s="1" t="s">
        <v>31</v>
      </c>
      <c r="Q387" s="1" t="s">
        <v>63</v>
      </c>
      <c r="R387" s="1" t="s">
        <v>26</v>
      </c>
    </row>
    <row r="388" spans="1:18" x14ac:dyDescent="0.25">
      <c r="A388" s="1" t="s">
        <v>181</v>
      </c>
      <c r="B388" s="2">
        <v>45567</v>
      </c>
      <c r="C388" s="1" t="s">
        <v>34</v>
      </c>
      <c r="D388" s="1" t="s">
        <v>172</v>
      </c>
      <c r="E388" s="1" t="s">
        <v>120</v>
      </c>
      <c r="F388" s="1" t="s">
        <v>22</v>
      </c>
      <c r="G388" s="1" t="s">
        <v>40</v>
      </c>
      <c r="H388">
        <v>44</v>
      </c>
      <c r="I388" s="4">
        <v>341.43</v>
      </c>
      <c r="J388" s="4">
        <v>15022.92</v>
      </c>
      <c r="K388" s="6">
        <v>10</v>
      </c>
      <c r="L388" s="4">
        <v>13520.63</v>
      </c>
      <c r="M388" s="4">
        <v>8603.83</v>
      </c>
      <c r="N388" s="4">
        <v>4916.8</v>
      </c>
      <c r="O388" s="6">
        <v>36.369999999999997</v>
      </c>
      <c r="P388" s="1" t="s">
        <v>31</v>
      </c>
      <c r="Q388" s="1" t="s">
        <v>63</v>
      </c>
      <c r="R388" s="1" t="s">
        <v>26</v>
      </c>
    </row>
    <row r="389" spans="1:18" x14ac:dyDescent="0.25">
      <c r="A389" s="1" t="s">
        <v>111</v>
      </c>
      <c r="B389" s="2">
        <v>45064</v>
      </c>
      <c r="C389" s="1" t="s">
        <v>34</v>
      </c>
      <c r="D389" s="1" t="s">
        <v>71</v>
      </c>
      <c r="E389" s="1" t="s">
        <v>112</v>
      </c>
      <c r="F389" s="1" t="s">
        <v>22</v>
      </c>
      <c r="G389" s="1" t="s">
        <v>113</v>
      </c>
      <c r="H389">
        <v>36</v>
      </c>
      <c r="I389" s="4">
        <v>415.3</v>
      </c>
      <c r="J389" s="4">
        <v>14950.8</v>
      </c>
      <c r="K389" s="6">
        <v>25</v>
      </c>
      <c r="L389" s="4">
        <v>11213.1</v>
      </c>
      <c r="M389" s="4">
        <v>4833.7</v>
      </c>
      <c r="N389" s="4">
        <v>6379.4</v>
      </c>
      <c r="O389" s="6">
        <v>56.89</v>
      </c>
      <c r="P389" s="1" t="s">
        <v>44</v>
      </c>
      <c r="Q389" s="1" t="s">
        <v>56</v>
      </c>
      <c r="R389" s="1" t="s">
        <v>26</v>
      </c>
    </row>
    <row r="390" spans="1:18" x14ac:dyDescent="0.25">
      <c r="A390" s="1" t="s">
        <v>525</v>
      </c>
      <c r="B390" s="2">
        <v>45606</v>
      </c>
      <c r="C390" s="1" t="s">
        <v>51</v>
      </c>
      <c r="D390" s="1" t="s">
        <v>91</v>
      </c>
      <c r="E390" s="1" t="s">
        <v>42</v>
      </c>
      <c r="F390" s="1" t="s">
        <v>47</v>
      </c>
      <c r="G390" s="1" t="s">
        <v>127</v>
      </c>
      <c r="H390">
        <v>7</v>
      </c>
      <c r="I390" s="4">
        <v>2106.2199999999998</v>
      </c>
      <c r="J390" s="4">
        <v>14743.54</v>
      </c>
      <c r="K390" s="6">
        <v>0</v>
      </c>
      <c r="L390" s="4">
        <v>14743.54</v>
      </c>
      <c r="M390" s="4">
        <v>8886.57</v>
      </c>
      <c r="N390" s="4">
        <v>5856.97</v>
      </c>
      <c r="O390" s="6">
        <v>39.729999999999997</v>
      </c>
      <c r="P390" s="1" t="s">
        <v>62</v>
      </c>
      <c r="Q390" s="1" t="s">
        <v>25</v>
      </c>
      <c r="R390" s="1" t="s">
        <v>180</v>
      </c>
    </row>
    <row r="391" spans="1:18" x14ac:dyDescent="0.25">
      <c r="A391" s="1" t="s">
        <v>437</v>
      </c>
      <c r="B391" s="2">
        <v>45254</v>
      </c>
      <c r="C391" s="1" t="s">
        <v>34</v>
      </c>
      <c r="D391" s="1" t="s">
        <v>46</v>
      </c>
      <c r="E391" s="1" t="s">
        <v>53</v>
      </c>
      <c r="F391" s="1" t="s">
        <v>29</v>
      </c>
      <c r="G391" s="1" t="s">
        <v>30</v>
      </c>
      <c r="H391">
        <v>4</v>
      </c>
      <c r="I391" s="4">
        <v>3673.08</v>
      </c>
      <c r="J391" s="4">
        <v>14692.32</v>
      </c>
      <c r="K391" s="6">
        <v>20</v>
      </c>
      <c r="L391" s="4">
        <v>11753.86</v>
      </c>
      <c r="M391" s="4">
        <v>6126.46</v>
      </c>
      <c r="N391" s="4">
        <v>5627.4</v>
      </c>
      <c r="O391" s="6">
        <v>47.88</v>
      </c>
      <c r="P391" s="1" t="s">
        <v>49</v>
      </c>
      <c r="Q391" s="1" t="s">
        <v>63</v>
      </c>
      <c r="R391" s="1" t="s">
        <v>180</v>
      </c>
    </row>
    <row r="392" spans="1:18" x14ac:dyDescent="0.25">
      <c r="A392" s="1" t="s">
        <v>524</v>
      </c>
      <c r="B392" s="2">
        <v>45198</v>
      </c>
      <c r="C392" s="1" t="s">
        <v>34</v>
      </c>
      <c r="D392" s="1" t="s">
        <v>46</v>
      </c>
      <c r="E392" s="1" t="s">
        <v>85</v>
      </c>
      <c r="F392" s="1" t="s">
        <v>22</v>
      </c>
      <c r="G392" s="1" t="s">
        <v>43</v>
      </c>
      <c r="H392">
        <v>48</v>
      </c>
      <c r="I392" s="4">
        <v>303.63</v>
      </c>
      <c r="J392" s="4">
        <v>14574.24</v>
      </c>
      <c r="K392" s="6">
        <v>25</v>
      </c>
      <c r="L392" s="4">
        <v>10930.68</v>
      </c>
      <c r="M392" s="4">
        <v>5166.0200000000004</v>
      </c>
      <c r="N392" s="4">
        <v>5764.66</v>
      </c>
      <c r="O392" s="6">
        <v>52.74</v>
      </c>
      <c r="P392" s="1" t="s">
        <v>49</v>
      </c>
      <c r="Q392" s="1" t="s">
        <v>106</v>
      </c>
      <c r="R392" s="1" t="s">
        <v>26</v>
      </c>
    </row>
    <row r="393" spans="1:18" x14ac:dyDescent="0.25">
      <c r="A393" s="1" t="s">
        <v>211</v>
      </c>
      <c r="B393" s="2">
        <v>45304</v>
      </c>
      <c r="C393" s="1" t="s">
        <v>58</v>
      </c>
      <c r="D393" s="1" t="s">
        <v>119</v>
      </c>
      <c r="E393" s="1" t="s">
        <v>42</v>
      </c>
      <c r="F393" s="1" t="s">
        <v>47</v>
      </c>
      <c r="G393" s="1" t="s">
        <v>160</v>
      </c>
      <c r="H393">
        <v>26</v>
      </c>
      <c r="I393" s="4">
        <v>553.91</v>
      </c>
      <c r="J393" s="4">
        <v>14401.66</v>
      </c>
      <c r="K393" s="6">
        <v>20</v>
      </c>
      <c r="L393" s="4">
        <v>11521.33</v>
      </c>
      <c r="M393" s="4">
        <v>5035.7</v>
      </c>
      <c r="N393" s="4">
        <v>6485.63</v>
      </c>
      <c r="O393" s="6">
        <v>56.29</v>
      </c>
      <c r="P393" s="1" t="s">
        <v>44</v>
      </c>
      <c r="Q393" s="1" t="s">
        <v>25</v>
      </c>
      <c r="R393" s="1" t="s">
        <v>26</v>
      </c>
    </row>
    <row r="394" spans="1:18" x14ac:dyDescent="0.25">
      <c r="A394" s="1" t="s">
        <v>27</v>
      </c>
      <c r="B394" s="2">
        <v>45645</v>
      </c>
      <c r="C394" s="1" t="s">
        <v>19</v>
      </c>
      <c r="D394" s="1" t="s">
        <v>20</v>
      </c>
      <c r="E394" s="1" t="s">
        <v>28</v>
      </c>
      <c r="F394" s="1" t="s">
        <v>29</v>
      </c>
      <c r="G394" s="1" t="s">
        <v>30</v>
      </c>
      <c r="H394">
        <v>39</v>
      </c>
      <c r="I394" s="4">
        <v>362.78</v>
      </c>
      <c r="J394" s="4">
        <v>14148.42</v>
      </c>
      <c r="K394" s="6">
        <v>5</v>
      </c>
      <c r="L394" s="4">
        <v>13441</v>
      </c>
      <c r="M394" s="4">
        <v>8263.61</v>
      </c>
      <c r="N394" s="4">
        <v>5177.3900000000003</v>
      </c>
      <c r="O394" s="6">
        <v>38.520000000000003</v>
      </c>
      <c r="P394" s="1" t="s">
        <v>31</v>
      </c>
      <c r="Q394" s="1" t="s">
        <v>32</v>
      </c>
      <c r="R394" s="1" t="s">
        <v>26</v>
      </c>
    </row>
    <row r="395" spans="1:18" x14ac:dyDescent="0.25">
      <c r="A395" s="1" t="s">
        <v>364</v>
      </c>
      <c r="B395" s="2">
        <v>45622</v>
      </c>
      <c r="C395" s="1" t="s">
        <v>51</v>
      </c>
      <c r="D395" s="1" t="s">
        <v>84</v>
      </c>
      <c r="E395" s="1" t="s">
        <v>139</v>
      </c>
      <c r="F395" s="1" t="s">
        <v>22</v>
      </c>
      <c r="G395" s="1" t="s">
        <v>23</v>
      </c>
      <c r="H395">
        <v>37</v>
      </c>
      <c r="I395" s="4">
        <v>379.42</v>
      </c>
      <c r="J395" s="4">
        <v>14038.54</v>
      </c>
      <c r="K395" s="6">
        <v>20</v>
      </c>
      <c r="L395" s="4">
        <v>11230.83</v>
      </c>
      <c r="M395" s="4">
        <v>7812.69</v>
      </c>
      <c r="N395" s="4">
        <v>3418.14</v>
      </c>
      <c r="O395" s="6">
        <v>30.44</v>
      </c>
      <c r="P395" s="1" t="s">
        <v>24</v>
      </c>
      <c r="Q395" s="1" t="s">
        <v>106</v>
      </c>
      <c r="R395" s="1" t="s">
        <v>26</v>
      </c>
    </row>
    <row r="396" spans="1:18" x14ac:dyDescent="0.25">
      <c r="A396" s="1" t="s">
        <v>528</v>
      </c>
      <c r="B396" s="2">
        <v>45297</v>
      </c>
      <c r="C396" s="1" t="s">
        <v>58</v>
      </c>
      <c r="D396" s="1" t="s">
        <v>59</v>
      </c>
      <c r="E396" s="1" t="s">
        <v>76</v>
      </c>
      <c r="F396" s="1" t="s">
        <v>22</v>
      </c>
      <c r="G396" s="1" t="s">
        <v>113</v>
      </c>
      <c r="H396">
        <v>44</v>
      </c>
      <c r="I396" s="4">
        <v>316.04000000000002</v>
      </c>
      <c r="J396" s="4">
        <v>13905.76</v>
      </c>
      <c r="K396" s="6">
        <v>20</v>
      </c>
      <c r="L396" s="4">
        <v>11124.61</v>
      </c>
      <c r="M396" s="4">
        <v>4786.08</v>
      </c>
      <c r="N396" s="4">
        <v>6338.53</v>
      </c>
      <c r="O396" s="6">
        <v>56.98</v>
      </c>
      <c r="P396" s="1" t="s">
        <v>31</v>
      </c>
      <c r="Q396" s="1" t="s">
        <v>38</v>
      </c>
      <c r="R396" s="1" t="s">
        <v>26</v>
      </c>
    </row>
    <row r="397" spans="1:18" x14ac:dyDescent="0.25">
      <c r="A397" s="1" t="s">
        <v>536</v>
      </c>
      <c r="B397" s="2">
        <v>45382</v>
      </c>
      <c r="C397" s="1" t="s">
        <v>34</v>
      </c>
      <c r="D397" s="1" t="s">
        <v>172</v>
      </c>
      <c r="E397" s="1" t="s">
        <v>65</v>
      </c>
      <c r="F397" s="1" t="s">
        <v>22</v>
      </c>
      <c r="G397" s="1" t="s">
        <v>23</v>
      </c>
      <c r="H397">
        <v>18</v>
      </c>
      <c r="I397" s="4">
        <v>758.03</v>
      </c>
      <c r="J397" s="4">
        <v>13644.54</v>
      </c>
      <c r="K397" s="6">
        <v>15</v>
      </c>
      <c r="L397" s="4">
        <v>11597.86</v>
      </c>
      <c r="M397" s="4">
        <v>5582.91</v>
      </c>
      <c r="N397" s="4">
        <v>6014.95</v>
      </c>
      <c r="O397" s="6">
        <v>51.86</v>
      </c>
      <c r="P397" s="1" t="s">
        <v>44</v>
      </c>
      <c r="Q397" s="1" t="s">
        <v>63</v>
      </c>
      <c r="R397" s="1" t="s">
        <v>26</v>
      </c>
    </row>
    <row r="398" spans="1:18" x14ac:dyDescent="0.25">
      <c r="A398" s="1" t="s">
        <v>305</v>
      </c>
      <c r="B398" s="2">
        <v>45010</v>
      </c>
      <c r="C398" s="1" t="s">
        <v>58</v>
      </c>
      <c r="D398" s="1" t="s">
        <v>119</v>
      </c>
      <c r="E398" s="1" t="s">
        <v>42</v>
      </c>
      <c r="F398" s="1" t="s">
        <v>22</v>
      </c>
      <c r="G398" s="1" t="s">
        <v>43</v>
      </c>
      <c r="H398">
        <v>16</v>
      </c>
      <c r="I398" s="4">
        <v>841.98</v>
      </c>
      <c r="J398" s="4">
        <v>13471.68</v>
      </c>
      <c r="K398" s="6">
        <v>20</v>
      </c>
      <c r="L398" s="4">
        <v>10777.34</v>
      </c>
      <c r="M398" s="4">
        <v>7133.96</v>
      </c>
      <c r="N398" s="4">
        <v>3643.38</v>
      </c>
      <c r="O398" s="6">
        <v>33.81</v>
      </c>
      <c r="P398" s="1" t="s">
        <v>31</v>
      </c>
      <c r="Q398" s="1" t="s">
        <v>32</v>
      </c>
      <c r="R398" s="1" t="s">
        <v>26</v>
      </c>
    </row>
    <row r="399" spans="1:18" x14ac:dyDescent="0.25">
      <c r="A399" s="1" t="s">
        <v>545</v>
      </c>
      <c r="B399" s="2">
        <v>45040</v>
      </c>
      <c r="C399" s="1" t="s">
        <v>34</v>
      </c>
      <c r="D399" s="1" t="s">
        <v>172</v>
      </c>
      <c r="E399" s="1" t="s">
        <v>129</v>
      </c>
      <c r="F399" s="1" t="s">
        <v>22</v>
      </c>
      <c r="G399" s="1" t="s">
        <v>23</v>
      </c>
      <c r="H399">
        <v>13</v>
      </c>
      <c r="I399" s="4">
        <v>1035.9000000000001</v>
      </c>
      <c r="J399" s="4">
        <v>13466.7</v>
      </c>
      <c r="K399" s="6">
        <v>5</v>
      </c>
      <c r="L399" s="4">
        <v>12793.36</v>
      </c>
      <c r="M399" s="4">
        <v>5641.71</v>
      </c>
      <c r="N399" s="4">
        <v>7151.65</v>
      </c>
      <c r="O399" s="6">
        <v>55.9</v>
      </c>
      <c r="P399" s="1" t="s">
        <v>62</v>
      </c>
      <c r="Q399" s="1" t="s">
        <v>25</v>
      </c>
      <c r="R399" s="1" t="s">
        <v>26</v>
      </c>
    </row>
    <row r="400" spans="1:18" x14ac:dyDescent="0.25">
      <c r="A400" s="1" t="s">
        <v>395</v>
      </c>
      <c r="B400" s="2">
        <v>45648</v>
      </c>
      <c r="C400" s="1" t="s">
        <v>51</v>
      </c>
      <c r="D400" s="1" t="s">
        <v>52</v>
      </c>
      <c r="E400" s="1" t="s">
        <v>139</v>
      </c>
      <c r="F400" s="1" t="s">
        <v>47</v>
      </c>
      <c r="G400" s="1" t="s">
        <v>77</v>
      </c>
      <c r="H400">
        <v>8</v>
      </c>
      <c r="I400" s="4">
        <v>1674.67</v>
      </c>
      <c r="J400" s="4">
        <v>13397.36</v>
      </c>
      <c r="K400" s="6">
        <v>25</v>
      </c>
      <c r="L400" s="4">
        <v>10048.02</v>
      </c>
      <c r="M400" s="4">
        <v>4936.24</v>
      </c>
      <c r="N400" s="4">
        <v>5111.78</v>
      </c>
      <c r="O400" s="6">
        <v>50.87</v>
      </c>
      <c r="P400" s="1" t="s">
        <v>31</v>
      </c>
      <c r="Q400" s="1" t="s">
        <v>56</v>
      </c>
      <c r="R400" s="1" t="s">
        <v>26</v>
      </c>
    </row>
    <row r="401" spans="1:18" x14ac:dyDescent="0.25">
      <c r="A401" s="1" t="s">
        <v>317</v>
      </c>
      <c r="B401" s="2">
        <v>45401</v>
      </c>
      <c r="C401" s="1" t="s">
        <v>51</v>
      </c>
      <c r="D401" s="1" t="s">
        <v>91</v>
      </c>
      <c r="E401" s="1" t="s">
        <v>72</v>
      </c>
      <c r="F401" s="1" t="s">
        <v>54</v>
      </c>
      <c r="G401" s="1" t="s">
        <v>96</v>
      </c>
      <c r="H401">
        <v>15</v>
      </c>
      <c r="I401" s="4">
        <v>856.73</v>
      </c>
      <c r="J401" s="4">
        <v>12850.95</v>
      </c>
      <c r="K401" s="6">
        <v>25</v>
      </c>
      <c r="L401" s="4">
        <v>9638.2099999999991</v>
      </c>
      <c r="M401" s="4">
        <v>4272.67</v>
      </c>
      <c r="N401" s="4">
        <v>5365.54</v>
      </c>
      <c r="O401" s="6">
        <v>55.67</v>
      </c>
      <c r="P401" s="1" t="s">
        <v>24</v>
      </c>
      <c r="Q401" s="1" t="s">
        <v>25</v>
      </c>
      <c r="R401" s="1" t="s">
        <v>26</v>
      </c>
    </row>
    <row r="402" spans="1:18" x14ac:dyDescent="0.25">
      <c r="A402" s="1" t="s">
        <v>609</v>
      </c>
      <c r="B402" s="2">
        <v>44996</v>
      </c>
      <c r="C402" s="1" t="s">
        <v>34</v>
      </c>
      <c r="D402" s="1" t="s">
        <v>71</v>
      </c>
      <c r="E402" s="1" t="s">
        <v>76</v>
      </c>
      <c r="F402" s="1" t="s">
        <v>22</v>
      </c>
      <c r="G402" s="1" t="s">
        <v>43</v>
      </c>
      <c r="H402">
        <v>41</v>
      </c>
      <c r="I402" s="4">
        <v>305.33</v>
      </c>
      <c r="J402" s="4">
        <v>12518.53</v>
      </c>
      <c r="K402" s="6">
        <v>10</v>
      </c>
      <c r="L402" s="4">
        <v>11266.68</v>
      </c>
      <c r="M402" s="4">
        <v>5366.6</v>
      </c>
      <c r="N402" s="4">
        <v>5900.08</v>
      </c>
      <c r="O402" s="6">
        <v>52.37</v>
      </c>
      <c r="P402" s="1" t="s">
        <v>44</v>
      </c>
      <c r="Q402" s="1" t="s">
        <v>38</v>
      </c>
      <c r="R402" s="1" t="s">
        <v>26</v>
      </c>
    </row>
    <row r="403" spans="1:18" x14ac:dyDescent="0.25">
      <c r="A403" s="1" t="s">
        <v>278</v>
      </c>
      <c r="B403" s="2">
        <v>45391</v>
      </c>
      <c r="C403" s="1" t="s">
        <v>19</v>
      </c>
      <c r="D403" s="1" t="s">
        <v>155</v>
      </c>
      <c r="E403" s="1" t="s">
        <v>112</v>
      </c>
      <c r="F403" s="1" t="s">
        <v>22</v>
      </c>
      <c r="G403" s="1" t="s">
        <v>23</v>
      </c>
      <c r="H403">
        <v>20</v>
      </c>
      <c r="I403" s="4">
        <v>620.9</v>
      </c>
      <c r="J403" s="4">
        <v>12418</v>
      </c>
      <c r="K403" s="6">
        <v>25</v>
      </c>
      <c r="L403" s="4">
        <v>9313.5</v>
      </c>
      <c r="M403" s="4">
        <v>4860.04</v>
      </c>
      <c r="N403" s="4">
        <v>4453.46</v>
      </c>
      <c r="O403" s="6">
        <v>47.82</v>
      </c>
      <c r="P403" s="1" t="s">
        <v>24</v>
      </c>
      <c r="Q403" s="1" t="s">
        <v>63</v>
      </c>
      <c r="R403" s="1" t="s">
        <v>26</v>
      </c>
    </row>
    <row r="404" spans="1:18" x14ac:dyDescent="0.25">
      <c r="A404" s="1" t="s">
        <v>499</v>
      </c>
      <c r="B404" s="2">
        <v>44967</v>
      </c>
      <c r="C404" s="1" t="s">
        <v>51</v>
      </c>
      <c r="D404" s="1" t="s">
        <v>88</v>
      </c>
      <c r="E404" s="1" t="s">
        <v>28</v>
      </c>
      <c r="F404" s="1" t="s">
        <v>22</v>
      </c>
      <c r="G404" s="1" t="s">
        <v>43</v>
      </c>
      <c r="H404">
        <v>24</v>
      </c>
      <c r="I404" s="4">
        <v>514.66</v>
      </c>
      <c r="J404" s="4">
        <v>12351.84</v>
      </c>
      <c r="K404" s="6">
        <v>15</v>
      </c>
      <c r="L404" s="4">
        <v>10499.06</v>
      </c>
      <c r="M404" s="4">
        <v>6976.26</v>
      </c>
      <c r="N404" s="4">
        <v>3522.8</v>
      </c>
      <c r="O404" s="6">
        <v>33.549999999999997</v>
      </c>
      <c r="P404" s="1" t="s">
        <v>44</v>
      </c>
      <c r="Q404" s="1" t="s">
        <v>56</v>
      </c>
      <c r="R404" s="1" t="s">
        <v>26</v>
      </c>
    </row>
    <row r="405" spans="1:18" x14ac:dyDescent="0.25">
      <c r="A405" s="1" t="s">
        <v>296</v>
      </c>
      <c r="B405" s="2">
        <v>45490</v>
      </c>
      <c r="C405" s="1" t="s">
        <v>19</v>
      </c>
      <c r="D405" s="1" t="s">
        <v>20</v>
      </c>
      <c r="E405" s="1" t="s">
        <v>65</v>
      </c>
      <c r="F405" s="1" t="s">
        <v>54</v>
      </c>
      <c r="G405" s="1" t="s">
        <v>86</v>
      </c>
      <c r="H405">
        <v>31</v>
      </c>
      <c r="I405" s="4">
        <v>386.28</v>
      </c>
      <c r="J405" s="4">
        <v>11974.68</v>
      </c>
      <c r="K405" s="6">
        <v>5</v>
      </c>
      <c r="L405" s="4">
        <v>11375.95</v>
      </c>
      <c r="M405" s="4">
        <v>4568.0600000000004</v>
      </c>
      <c r="N405" s="4">
        <v>6807.89</v>
      </c>
      <c r="O405" s="6">
        <v>59.84</v>
      </c>
      <c r="P405" s="1" t="s">
        <v>49</v>
      </c>
      <c r="Q405" s="1" t="s">
        <v>32</v>
      </c>
      <c r="R405" s="1" t="s">
        <v>26</v>
      </c>
    </row>
    <row r="406" spans="1:18" x14ac:dyDescent="0.25">
      <c r="A406" s="1" t="s">
        <v>185</v>
      </c>
      <c r="B406" s="2">
        <v>45516</v>
      </c>
      <c r="C406" s="1" t="s">
        <v>58</v>
      </c>
      <c r="D406" s="1" t="s">
        <v>59</v>
      </c>
      <c r="E406" s="1" t="s">
        <v>76</v>
      </c>
      <c r="F406" s="1" t="s">
        <v>81</v>
      </c>
      <c r="G406" s="1" t="s">
        <v>186</v>
      </c>
      <c r="H406">
        <v>6</v>
      </c>
      <c r="I406" s="4">
        <v>1985.61</v>
      </c>
      <c r="J406" s="4">
        <v>11913.66</v>
      </c>
      <c r="K406" s="6">
        <v>25</v>
      </c>
      <c r="L406" s="4">
        <v>8935.24</v>
      </c>
      <c r="M406" s="4">
        <v>5814.94</v>
      </c>
      <c r="N406" s="4">
        <v>3120.3</v>
      </c>
      <c r="O406" s="6">
        <v>34.92</v>
      </c>
      <c r="P406" s="1" t="s">
        <v>31</v>
      </c>
      <c r="Q406" s="1" t="s">
        <v>56</v>
      </c>
      <c r="R406" s="1" t="s">
        <v>26</v>
      </c>
    </row>
    <row r="407" spans="1:18" x14ac:dyDescent="0.25">
      <c r="A407" s="1" t="s">
        <v>272</v>
      </c>
      <c r="B407" s="2">
        <v>45405</v>
      </c>
      <c r="C407" s="1" t="s">
        <v>19</v>
      </c>
      <c r="D407" s="1" t="s">
        <v>159</v>
      </c>
      <c r="E407" s="1" t="s">
        <v>42</v>
      </c>
      <c r="F407" s="1" t="s">
        <v>29</v>
      </c>
      <c r="G407" s="1" t="s">
        <v>30</v>
      </c>
      <c r="H407">
        <v>32</v>
      </c>
      <c r="I407" s="4">
        <v>361.71</v>
      </c>
      <c r="J407" s="4">
        <v>11574.72</v>
      </c>
      <c r="K407" s="6">
        <v>20</v>
      </c>
      <c r="L407" s="4">
        <v>9259.7800000000007</v>
      </c>
      <c r="M407" s="4">
        <v>5293.66</v>
      </c>
      <c r="N407" s="4">
        <v>3966.12</v>
      </c>
      <c r="O407" s="6">
        <v>42.83</v>
      </c>
      <c r="P407" s="1" t="s">
        <v>31</v>
      </c>
      <c r="Q407" s="1" t="s">
        <v>106</v>
      </c>
      <c r="R407" s="1" t="s">
        <v>26</v>
      </c>
    </row>
    <row r="408" spans="1:18" x14ac:dyDescent="0.25">
      <c r="A408" s="1" t="s">
        <v>421</v>
      </c>
      <c r="B408" s="2">
        <v>45511</v>
      </c>
      <c r="C408" s="1" t="s">
        <v>58</v>
      </c>
      <c r="D408" s="1" t="s">
        <v>119</v>
      </c>
      <c r="E408" s="1" t="s">
        <v>139</v>
      </c>
      <c r="F408" s="1" t="s">
        <v>29</v>
      </c>
      <c r="G408" s="1" t="s">
        <v>157</v>
      </c>
      <c r="H408">
        <v>6</v>
      </c>
      <c r="I408" s="4">
        <v>1927.92</v>
      </c>
      <c r="J408" s="4">
        <v>11567.52</v>
      </c>
      <c r="K408" s="6">
        <v>25</v>
      </c>
      <c r="L408" s="4">
        <v>8675.64</v>
      </c>
      <c r="M408" s="4">
        <v>3560.64</v>
      </c>
      <c r="N408" s="4">
        <v>5115</v>
      </c>
      <c r="O408" s="6">
        <v>58.96</v>
      </c>
      <c r="P408" s="1" t="s">
        <v>31</v>
      </c>
      <c r="Q408" s="1" t="s">
        <v>25</v>
      </c>
      <c r="R408" s="1" t="s">
        <v>26</v>
      </c>
    </row>
    <row r="409" spans="1:18" x14ac:dyDescent="0.25">
      <c r="A409" s="1" t="s">
        <v>518</v>
      </c>
      <c r="B409" s="2">
        <v>44997</v>
      </c>
      <c r="C409" s="1" t="s">
        <v>58</v>
      </c>
      <c r="D409" s="1" t="s">
        <v>59</v>
      </c>
      <c r="E409" s="1" t="s">
        <v>129</v>
      </c>
      <c r="F409" s="1" t="s">
        <v>22</v>
      </c>
      <c r="G409" s="1" t="s">
        <v>117</v>
      </c>
      <c r="H409">
        <v>38</v>
      </c>
      <c r="I409" s="4">
        <v>304.35000000000002</v>
      </c>
      <c r="J409" s="4">
        <v>11565.3</v>
      </c>
      <c r="K409" s="6">
        <v>0</v>
      </c>
      <c r="L409" s="4">
        <v>11565.3</v>
      </c>
      <c r="M409" s="4">
        <v>7182.95</v>
      </c>
      <c r="N409" s="4">
        <v>4382.3500000000004</v>
      </c>
      <c r="O409" s="6">
        <v>37.89</v>
      </c>
      <c r="P409" s="1" t="s">
        <v>24</v>
      </c>
      <c r="Q409" s="1" t="s">
        <v>25</v>
      </c>
      <c r="R409" s="1" t="s">
        <v>26</v>
      </c>
    </row>
    <row r="410" spans="1:18" x14ac:dyDescent="0.25">
      <c r="A410" s="1" t="s">
        <v>263</v>
      </c>
      <c r="B410" s="2">
        <v>45436</v>
      </c>
      <c r="C410" s="1" t="s">
        <v>58</v>
      </c>
      <c r="D410" s="1" t="s">
        <v>150</v>
      </c>
      <c r="E410" s="1" t="s">
        <v>53</v>
      </c>
      <c r="F410" s="1" t="s">
        <v>22</v>
      </c>
      <c r="G410" s="1" t="s">
        <v>40</v>
      </c>
      <c r="H410">
        <v>25</v>
      </c>
      <c r="I410" s="4">
        <v>459.72</v>
      </c>
      <c r="J410" s="4">
        <v>11493</v>
      </c>
      <c r="K410" s="6">
        <v>5</v>
      </c>
      <c r="L410" s="4">
        <v>10918.35</v>
      </c>
      <c r="M410" s="4">
        <v>5992.66</v>
      </c>
      <c r="N410" s="4">
        <v>4925.6899999999996</v>
      </c>
      <c r="O410" s="6">
        <v>45.11</v>
      </c>
      <c r="P410" s="1" t="s">
        <v>44</v>
      </c>
      <c r="Q410" s="1" t="s">
        <v>25</v>
      </c>
      <c r="R410" s="1" t="s">
        <v>26</v>
      </c>
    </row>
    <row r="411" spans="1:18" x14ac:dyDescent="0.25">
      <c r="A411" s="1" t="s">
        <v>450</v>
      </c>
      <c r="B411" s="2">
        <v>45137</v>
      </c>
      <c r="C411" s="1" t="s">
        <v>19</v>
      </c>
      <c r="D411" s="1" t="s">
        <v>20</v>
      </c>
      <c r="E411" s="1" t="s">
        <v>129</v>
      </c>
      <c r="F411" s="1" t="s">
        <v>54</v>
      </c>
      <c r="G411" s="1" t="s">
        <v>99</v>
      </c>
      <c r="H411">
        <v>8</v>
      </c>
      <c r="I411" s="4">
        <v>1436.11</v>
      </c>
      <c r="J411" s="4">
        <v>11488.88</v>
      </c>
      <c r="K411" s="6">
        <v>15</v>
      </c>
      <c r="L411" s="4">
        <v>9765.5499999999993</v>
      </c>
      <c r="M411" s="4">
        <v>5962.46</v>
      </c>
      <c r="N411" s="4">
        <v>3803.09</v>
      </c>
      <c r="O411" s="6">
        <v>38.94</v>
      </c>
      <c r="P411" s="1" t="s">
        <v>24</v>
      </c>
      <c r="Q411" s="1" t="s">
        <v>38</v>
      </c>
      <c r="R411" s="1" t="s">
        <v>26</v>
      </c>
    </row>
    <row r="412" spans="1:18" x14ac:dyDescent="0.25">
      <c r="A412" s="1" t="s">
        <v>561</v>
      </c>
      <c r="B412" s="2">
        <v>45581</v>
      </c>
      <c r="C412" s="1" t="s">
        <v>51</v>
      </c>
      <c r="D412" s="1" t="s">
        <v>91</v>
      </c>
      <c r="E412" s="1" t="s">
        <v>76</v>
      </c>
      <c r="F412" s="1" t="s">
        <v>22</v>
      </c>
      <c r="G412" s="1" t="s">
        <v>94</v>
      </c>
      <c r="H412">
        <v>14</v>
      </c>
      <c r="I412" s="4">
        <v>814.44</v>
      </c>
      <c r="J412" s="4">
        <v>11402.16</v>
      </c>
      <c r="K412" s="6">
        <v>0</v>
      </c>
      <c r="L412" s="4">
        <v>11402.16</v>
      </c>
      <c r="M412" s="4">
        <v>6161.93</v>
      </c>
      <c r="N412" s="4">
        <v>5240.2299999999996</v>
      </c>
      <c r="O412" s="6">
        <v>45.96</v>
      </c>
      <c r="P412" s="1" t="s">
        <v>24</v>
      </c>
      <c r="Q412" s="1" t="s">
        <v>38</v>
      </c>
      <c r="R412" s="1" t="s">
        <v>26</v>
      </c>
    </row>
    <row r="413" spans="1:18" x14ac:dyDescent="0.25">
      <c r="A413" s="1" t="s">
        <v>511</v>
      </c>
      <c r="B413" s="2">
        <v>45594</v>
      </c>
      <c r="C413" s="1" t="s">
        <v>19</v>
      </c>
      <c r="D413" s="1" t="s">
        <v>155</v>
      </c>
      <c r="E413" s="1" t="s">
        <v>65</v>
      </c>
      <c r="F413" s="1" t="s">
        <v>22</v>
      </c>
      <c r="G413" s="1" t="s">
        <v>43</v>
      </c>
      <c r="H413">
        <v>21</v>
      </c>
      <c r="I413" s="4">
        <v>537.91</v>
      </c>
      <c r="J413" s="4">
        <v>11296.11</v>
      </c>
      <c r="K413" s="6">
        <v>0</v>
      </c>
      <c r="L413" s="4">
        <v>11296.11</v>
      </c>
      <c r="M413" s="4">
        <v>5042.96</v>
      </c>
      <c r="N413" s="4">
        <v>6253.15</v>
      </c>
      <c r="O413" s="6">
        <v>55.36</v>
      </c>
      <c r="P413" s="1" t="s">
        <v>31</v>
      </c>
      <c r="Q413" s="1" t="s">
        <v>38</v>
      </c>
      <c r="R413" s="1" t="s">
        <v>26</v>
      </c>
    </row>
    <row r="414" spans="1:18" x14ac:dyDescent="0.25">
      <c r="A414" s="1" t="s">
        <v>101</v>
      </c>
      <c r="B414" s="2">
        <v>44996</v>
      </c>
      <c r="C414" s="1" t="s">
        <v>19</v>
      </c>
      <c r="D414" s="1" t="s">
        <v>75</v>
      </c>
      <c r="E414" s="1" t="s">
        <v>76</v>
      </c>
      <c r="F414" s="1" t="s">
        <v>54</v>
      </c>
      <c r="G414" s="1" t="s">
        <v>102</v>
      </c>
      <c r="H414">
        <v>33</v>
      </c>
      <c r="I414" s="4">
        <v>338.26</v>
      </c>
      <c r="J414" s="4">
        <v>11162.58</v>
      </c>
      <c r="K414" s="6">
        <v>5</v>
      </c>
      <c r="L414" s="4">
        <v>10604.45</v>
      </c>
      <c r="M414" s="4">
        <v>4459.7700000000004</v>
      </c>
      <c r="N414" s="4">
        <v>6144.68</v>
      </c>
      <c r="O414" s="6">
        <v>57.94</v>
      </c>
      <c r="P414" s="1" t="s">
        <v>49</v>
      </c>
      <c r="Q414" s="1" t="s">
        <v>32</v>
      </c>
      <c r="R414" s="1" t="s">
        <v>26</v>
      </c>
    </row>
    <row r="415" spans="1:18" x14ac:dyDescent="0.25">
      <c r="A415" s="1" t="s">
        <v>100</v>
      </c>
      <c r="B415" s="2">
        <v>45482</v>
      </c>
      <c r="C415" s="1" t="s">
        <v>58</v>
      </c>
      <c r="D415" s="1" t="s">
        <v>59</v>
      </c>
      <c r="E415" s="1" t="s">
        <v>80</v>
      </c>
      <c r="F415" s="1" t="s">
        <v>54</v>
      </c>
      <c r="G415" s="1" t="s">
        <v>99</v>
      </c>
      <c r="H415">
        <v>13</v>
      </c>
      <c r="I415" s="4">
        <v>847.26</v>
      </c>
      <c r="J415" s="4">
        <v>11014.38</v>
      </c>
      <c r="K415" s="6">
        <v>0</v>
      </c>
      <c r="L415" s="4">
        <v>11014.38</v>
      </c>
      <c r="M415" s="4">
        <v>6319.55</v>
      </c>
      <c r="N415" s="4">
        <v>4694.83</v>
      </c>
      <c r="O415" s="6">
        <v>42.62</v>
      </c>
      <c r="P415" s="1" t="s">
        <v>24</v>
      </c>
      <c r="Q415" s="1" t="s">
        <v>63</v>
      </c>
      <c r="R415" s="1" t="s">
        <v>26</v>
      </c>
    </row>
    <row r="416" spans="1:18" x14ac:dyDescent="0.25">
      <c r="A416" s="1" t="s">
        <v>592</v>
      </c>
      <c r="B416" s="2">
        <v>45476</v>
      </c>
      <c r="C416" s="1" t="s">
        <v>19</v>
      </c>
      <c r="D416" s="1" t="s">
        <v>75</v>
      </c>
      <c r="E416" s="1" t="s">
        <v>65</v>
      </c>
      <c r="F416" s="1" t="s">
        <v>22</v>
      </c>
      <c r="G416" s="1" t="s">
        <v>117</v>
      </c>
      <c r="H416">
        <v>21</v>
      </c>
      <c r="I416" s="4">
        <v>521.45000000000005</v>
      </c>
      <c r="J416" s="4">
        <v>10950.45</v>
      </c>
      <c r="K416" s="6">
        <v>25</v>
      </c>
      <c r="L416" s="4">
        <v>8212.84</v>
      </c>
      <c r="M416" s="4">
        <v>4694.3</v>
      </c>
      <c r="N416" s="4">
        <v>3518.54</v>
      </c>
      <c r="O416" s="6">
        <v>42.84</v>
      </c>
      <c r="P416" s="1" t="s">
        <v>31</v>
      </c>
      <c r="Q416" s="1" t="s">
        <v>63</v>
      </c>
      <c r="R416" s="1" t="s">
        <v>26</v>
      </c>
    </row>
    <row r="417" spans="1:18" x14ac:dyDescent="0.25">
      <c r="A417" s="1" t="s">
        <v>432</v>
      </c>
      <c r="B417" s="2">
        <v>45146</v>
      </c>
      <c r="C417" s="1" t="s">
        <v>34</v>
      </c>
      <c r="D417" s="1" t="s">
        <v>35</v>
      </c>
      <c r="E417" s="1" t="s">
        <v>129</v>
      </c>
      <c r="F417" s="1" t="s">
        <v>47</v>
      </c>
      <c r="G417" s="1" t="s">
        <v>202</v>
      </c>
      <c r="H417">
        <v>4</v>
      </c>
      <c r="I417" s="4">
        <v>2736.59</v>
      </c>
      <c r="J417" s="4">
        <v>10946.36</v>
      </c>
      <c r="K417" s="6">
        <v>20</v>
      </c>
      <c r="L417" s="4">
        <v>8757.09</v>
      </c>
      <c r="M417" s="4">
        <v>5551.55</v>
      </c>
      <c r="N417" s="4">
        <v>3205.54</v>
      </c>
      <c r="O417" s="6">
        <v>36.61</v>
      </c>
      <c r="P417" s="1" t="s">
        <v>49</v>
      </c>
      <c r="Q417" s="1" t="s">
        <v>63</v>
      </c>
      <c r="R417" s="1" t="s">
        <v>26</v>
      </c>
    </row>
    <row r="418" spans="1:18" x14ac:dyDescent="0.25">
      <c r="A418" s="1" t="s">
        <v>471</v>
      </c>
      <c r="B418" s="2">
        <v>45615</v>
      </c>
      <c r="C418" s="1" t="s">
        <v>34</v>
      </c>
      <c r="D418" s="1" t="s">
        <v>71</v>
      </c>
      <c r="E418" s="1" t="s">
        <v>21</v>
      </c>
      <c r="F418" s="1" t="s">
        <v>22</v>
      </c>
      <c r="G418" s="1" t="s">
        <v>43</v>
      </c>
      <c r="H418">
        <v>14</v>
      </c>
      <c r="I418" s="4">
        <v>779.07</v>
      </c>
      <c r="J418" s="4">
        <v>10906.98</v>
      </c>
      <c r="K418" s="6">
        <v>10</v>
      </c>
      <c r="L418" s="4">
        <v>9816.2800000000007</v>
      </c>
      <c r="M418" s="4">
        <v>5948.5</v>
      </c>
      <c r="N418" s="4">
        <v>3867.78</v>
      </c>
      <c r="O418" s="6">
        <v>39.4</v>
      </c>
      <c r="P418" s="1" t="s">
        <v>49</v>
      </c>
      <c r="Q418" s="1" t="s">
        <v>63</v>
      </c>
      <c r="R418" s="1" t="s">
        <v>26</v>
      </c>
    </row>
    <row r="419" spans="1:18" x14ac:dyDescent="0.25">
      <c r="A419" s="1" t="s">
        <v>244</v>
      </c>
      <c r="B419" s="2">
        <v>44994</v>
      </c>
      <c r="C419" s="1" t="s">
        <v>34</v>
      </c>
      <c r="D419" s="1" t="s">
        <v>133</v>
      </c>
      <c r="E419" s="1" t="s">
        <v>112</v>
      </c>
      <c r="F419" s="1" t="s">
        <v>54</v>
      </c>
      <c r="G419" s="1" t="s">
        <v>86</v>
      </c>
      <c r="H419">
        <v>39</v>
      </c>
      <c r="I419" s="4">
        <v>273.06</v>
      </c>
      <c r="J419" s="4">
        <v>10649.34</v>
      </c>
      <c r="K419" s="6">
        <v>25</v>
      </c>
      <c r="L419" s="4">
        <v>7987.01</v>
      </c>
      <c r="M419" s="4">
        <v>4745.8100000000004</v>
      </c>
      <c r="N419" s="4">
        <v>3241.2</v>
      </c>
      <c r="O419" s="6">
        <v>40.58</v>
      </c>
      <c r="P419" s="1" t="s">
        <v>44</v>
      </c>
      <c r="Q419" s="1" t="s">
        <v>56</v>
      </c>
      <c r="R419" s="1" t="s">
        <v>26</v>
      </c>
    </row>
    <row r="420" spans="1:18" x14ac:dyDescent="0.25">
      <c r="A420" s="1" t="s">
        <v>503</v>
      </c>
      <c r="B420" s="2">
        <v>44949</v>
      </c>
      <c r="C420" s="1" t="s">
        <v>19</v>
      </c>
      <c r="D420" s="1" t="s">
        <v>155</v>
      </c>
      <c r="E420" s="1" t="s">
        <v>85</v>
      </c>
      <c r="F420" s="1" t="s">
        <v>22</v>
      </c>
      <c r="G420" s="1" t="s">
        <v>40</v>
      </c>
      <c r="H420">
        <v>14</v>
      </c>
      <c r="I420" s="4">
        <v>741.69</v>
      </c>
      <c r="J420" s="4">
        <v>10383.66</v>
      </c>
      <c r="K420" s="6">
        <v>25</v>
      </c>
      <c r="L420" s="4">
        <v>7787.74</v>
      </c>
      <c r="M420" s="4">
        <v>5062.1000000000004</v>
      </c>
      <c r="N420" s="4">
        <v>2725.64</v>
      </c>
      <c r="O420" s="6">
        <v>35</v>
      </c>
      <c r="P420" s="1" t="s">
        <v>49</v>
      </c>
      <c r="Q420" s="1" t="s">
        <v>56</v>
      </c>
      <c r="R420" s="1" t="s">
        <v>26</v>
      </c>
    </row>
    <row r="421" spans="1:18" x14ac:dyDescent="0.25">
      <c r="A421" s="1" t="s">
        <v>448</v>
      </c>
      <c r="B421" s="2">
        <v>45100</v>
      </c>
      <c r="C421" s="1" t="s">
        <v>58</v>
      </c>
      <c r="D421" s="1" t="s">
        <v>79</v>
      </c>
      <c r="E421" s="1" t="s">
        <v>65</v>
      </c>
      <c r="F421" s="1" t="s">
        <v>29</v>
      </c>
      <c r="G421" s="1" t="s">
        <v>30</v>
      </c>
      <c r="H421">
        <v>9</v>
      </c>
      <c r="I421" s="4">
        <v>1147.56</v>
      </c>
      <c r="J421" s="4">
        <v>10328.040000000001</v>
      </c>
      <c r="K421" s="6">
        <v>0</v>
      </c>
      <c r="L421" s="4">
        <v>10328.040000000001</v>
      </c>
      <c r="M421" s="4">
        <v>5958.33</v>
      </c>
      <c r="N421" s="4">
        <v>4369.71</v>
      </c>
      <c r="O421" s="6">
        <v>42.31</v>
      </c>
      <c r="P421" s="1" t="s">
        <v>24</v>
      </c>
      <c r="Q421" s="1" t="s">
        <v>38</v>
      </c>
      <c r="R421" s="1" t="s">
        <v>26</v>
      </c>
    </row>
    <row r="422" spans="1:18" x14ac:dyDescent="0.25">
      <c r="A422" s="1" t="s">
        <v>377</v>
      </c>
      <c r="B422" s="2">
        <v>45580</v>
      </c>
      <c r="C422" s="1" t="s">
        <v>58</v>
      </c>
      <c r="D422" s="1" t="s">
        <v>59</v>
      </c>
      <c r="E422" s="1" t="s">
        <v>42</v>
      </c>
      <c r="F422" s="1" t="s">
        <v>22</v>
      </c>
      <c r="G422" s="1" t="s">
        <v>113</v>
      </c>
      <c r="H422">
        <v>16</v>
      </c>
      <c r="I422" s="4">
        <v>634.27</v>
      </c>
      <c r="J422" s="4">
        <v>10148.32</v>
      </c>
      <c r="K422" s="6">
        <v>0</v>
      </c>
      <c r="L422" s="4">
        <v>10148.32</v>
      </c>
      <c r="M422" s="4">
        <v>4793.3</v>
      </c>
      <c r="N422" s="4">
        <v>5355.02</v>
      </c>
      <c r="O422" s="6">
        <v>52.77</v>
      </c>
      <c r="P422" s="1" t="s">
        <v>31</v>
      </c>
      <c r="Q422" s="1" t="s">
        <v>56</v>
      </c>
      <c r="R422" s="1" t="s">
        <v>26</v>
      </c>
    </row>
    <row r="423" spans="1:18" x14ac:dyDescent="0.25">
      <c r="A423" s="1" t="s">
        <v>216</v>
      </c>
      <c r="B423" s="2">
        <v>45392</v>
      </c>
      <c r="C423" s="1" t="s">
        <v>34</v>
      </c>
      <c r="D423" s="1" t="s">
        <v>71</v>
      </c>
      <c r="E423" s="1" t="s">
        <v>76</v>
      </c>
      <c r="F423" s="1" t="s">
        <v>22</v>
      </c>
      <c r="G423" s="1" t="s">
        <v>170</v>
      </c>
      <c r="H423">
        <v>26</v>
      </c>
      <c r="I423" s="4">
        <v>388.99</v>
      </c>
      <c r="J423" s="4">
        <v>10113.74</v>
      </c>
      <c r="K423" s="6">
        <v>0</v>
      </c>
      <c r="L423" s="4">
        <v>10113.74</v>
      </c>
      <c r="M423" s="4">
        <v>6924.91</v>
      </c>
      <c r="N423" s="4">
        <v>3188.83</v>
      </c>
      <c r="O423" s="6">
        <v>31.53</v>
      </c>
      <c r="P423" s="1" t="s">
        <v>24</v>
      </c>
      <c r="Q423" s="1" t="s">
        <v>63</v>
      </c>
      <c r="R423" s="1" t="s">
        <v>26</v>
      </c>
    </row>
    <row r="424" spans="1:18" x14ac:dyDescent="0.25">
      <c r="A424" s="1" t="s">
        <v>147</v>
      </c>
      <c r="B424" s="2">
        <v>45270</v>
      </c>
      <c r="C424" s="1" t="s">
        <v>34</v>
      </c>
      <c r="D424" s="1" t="s">
        <v>71</v>
      </c>
      <c r="E424" s="1" t="s">
        <v>139</v>
      </c>
      <c r="F424" s="1" t="s">
        <v>54</v>
      </c>
      <c r="G424" s="1" t="s">
        <v>96</v>
      </c>
      <c r="H424">
        <v>29</v>
      </c>
      <c r="I424" s="4">
        <v>332.09</v>
      </c>
      <c r="J424" s="4">
        <v>9630.61</v>
      </c>
      <c r="K424" s="6">
        <v>10</v>
      </c>
      <c r="L424" s="4">
        <v>8667.5499999999993</v>
      </c>
      <c r="M424" s="4">
        <v>4076.77</v>
      </c>
      <c r="N424" s="4">
        <v>4590.78</v>
      </c>
      <c r="O424" s="6">
        <v>52.97</v>
      </c>
      <c r="P424" s="1" t="s">
        <v>44</v>
      </c>
      <c r="Q424" s="1" t="s">
        <v>25</v>
      </c>
      <c r="R424" s="1" t="s">
        <v>26</v>
      </c>
    </row>
    <row r="425" spans="1:18" x14ac:dyDescent="0.25">
      <c r="A425" s="1" t="s">
        <v>372</v>
      </c>
      <c r="B425" s="2">
        <v>45416</v>
      </c>
      <c r="C425" s="1" t="s">
        <v>19</v>
      </c>
      <c r="D425" s="1" t="s">
        <v>20</v>
      </c>
      <c r="E425" s="1" t="s">
        <v>72</v>
      </c>
      <c r="F425" s="1" t="s">
        <v>22</v>
      </c>
      <c r="G425" s="1" t="s">
        <v>170</v>
      </c>
      <c r="H425">
        <v>8</v>
      </c>
      <c r="I425" s="4">
        <v>1186.73</v>
      </c>
      <c r="J425" s="4">
        <v>9493.84</v>
      </c>
      <c r="K425" s="6">
        <v>15</v>
      </c>
      <c r="L425" s="4">
        <v>8069.76</v>
      </c>
      <c r="M425" s="4">
        <v>4908.1000000000004</v>
      </c>
      <c r="N425" s="4">
        <v>3161.66</v>
      </c>
      <c r="O425" s="6">
        <v>39.18</v>
      </c>
      <c r="P425" s="1" t="s">
        <v>24</v>
      </c>
      <c r="Q425" s="1" t="s">
        <v>106</v>
      </c>
      <c r="R425" s="1" t="s">
        <v>26</v>
      </c>
    </row>
    <row r="426" spans="1:18" x14ac:dyDescent="0.25">
      <c r="A426" s="1" t="s">
        <v>538</v>
      </c>
      <c r="B426" s="2">
        <v>45012</v>
      </c>
      <c r="C426" s="1" t="s">
        <v>19</v>
      </c>
      <c r="D426" s="1" t="s">
        <v>20</v>
      </c>
      <c r="E426" s="1" t="s">
        <v>28</v>
      </c>
      <c r="F426" s="1" t="s">
        <v>60</v>
      </c>
      <c r="G426" s="1" t="s">
        <v>184</v>
      </c>
      <c r="H426">
        <v>4</v>
      </c>
      <c r="I426" s="4">
        <v>2360.8000000000002</v>
      </c>
      <c r="J426" s="4">
        <v>9443.2000000000007</v>
      </c>
      <c r="K426" s="6">
        <v>15</v>
      </c>
      <c r="L426" s="4">
        <v>8026.72</v>
      </c>
      <c r="M426" s="4">
        <v>4472.45</v>
      </c>
      <c r="N426" s="4">
        <v>3554.27</v>
      </c>
      <c r="O426" s="6">
        <v>44.28</v>
      </c>
      <c r="P426" s="1" t="s">
        <v>24</v>
      </c>
      <c r="Q426" s="1" t="s">
        <v>38</v>
      </c>
      <c r="R426" s="1" t="s">
        <v>26</v>
      </c>
    </row>
    <row r="427" spans="1:18" x14ac:dyDescent="0.25">
      <c r="A427" s="1" t="s">
        <v>363</v>
      </c>
      <c r="B427" s="2">
        <v>44987</v>
      </c>
      <c r="C427" s="1" t="s">
        <v>34</v>
      </c>
      <c r="D427" s="1" t="s">
        <v>71</v>
      </c>
      <c r="E427" s="1" t="s">
        <v>80</v>
      </c>
      <c r="F427" s="1" t="s">
        <v>22</v>
      </c>
      <c r="G427" s="1" t="s">
        <v>117</v>
      </c>
      <c r="H427">
        <v>40</v>
      </c>
      <c r="I427" s="4">
        <v>235.94</v>
      </c>
      <c r="J427" s="4">
        <v>9437.6</v>
      </c>
      <c r="K427" s="6">
        <v>5</v>
      </c>
      <c r="L427" s="4">
        <v>8965.7199999999993</v>
      </c>
      <c r="M427" s="4">
        <v>5774.45</v>
      </c>
      <c r="N427" s="4">
        <v>3191.27</v>
      </c>
      <c r="O427" s="6">
        <v>35.590000000000003</v>
      </c>
      <c r="P427" s="1" t="s">
        <v>31</v>
      </c>
      <c r="Q427" s="1" t="s">
        <v>38</v>
      </c>
      <c r="R427" s="1" t="s">
        <v>26</v>
      </c>
    </row>
    <row r="428" spans="1:18" x14ac:dyDescent="0.25">
      <c r="A428" s="1" t="s">
        <v>392</v>
      </c>
      <c r="B428" s="2">
        <v>45003</v>
      </c>
      <c r="C428" s="1" t="s">
        <v>58</v>
      </c>
      <c r="D428" s="1" t="s">
        <v>59</v>
      </c>
      <c r="E428" s="1" t="s">
        <v>104</v>
      </c>
      <c r="F428" s="1" t="s">
        <v>54</v>
      </c>
      <c r="G428" s="1" t="s">
        <v>136</v>
      </c>
      <c r="H428">
        <v>7</v>
      </c>
      <c r="I428" s="4">
        <v>1337.76</v>
      </c>
      <c r="J428" s="4">
        <v>9364.32</v>
      </c>
      <c r="K428" s="6">
        <v>25</v>
      </c>
      <c r="L428" s="4">
        <v>7023.24</v>
      </c>
      <c r="M428" s="4">
        <v>4536.93</v>
      </c>
      <c r="N428" s="4">
        <v>2486.31</v>
      </c>
      <c r="O428" s="6">
        <v>35.4</v>
      </c>
      <c r="P428" s="1" t="s">
        <v>31</v>
      </c>
      <c r="Q428" s="1" t="s">
        <v>25</v>
      </c>
      <c r="R428" s="1" t="s">
        <v>26</v>
      </c>
    </row>
    <row r="429" spans="1:18" x14ac:dyDescent="0.25">
      <c r="A429" s="1" t="s">
        <v>39</v>
      </c>
      <c r="B429" s="2">
        <v>45227</v>
      </c>
      <c r="C429" s="1" t="s">
        <v>34</v>
      </c>
      <c r="D429" s="1" t="s">
        <v>35</v>
      </c>
      <c r="E429" s="1" t="s">
        <v>28</v>
      </c>
      <c r="F429" s="19" t="s">
        <v>22</v>
      </c>
      <c r="G429" s="1" t="s">
        <v>40</v>
      </c>
      <c r="H429">
        <v>8</v>
      </c>
      <c r="I429" s="4">
        <v>1169.8900000000001</v>
      </c>
      <c r="J429" s="4">
        <v>9359.1200000000008</v>
      </c>
      <c r="K429" s="6">
        <v>15</v>
      </c>
      <c r="L429" s="4">
        <v>7955.25</v>
      </c>
      <c r="M429" s="4">
        <v>3370.16</v>
      </c>
      <c r="N429" s="4">
        <v>4585.09</v>
      </c>
      <c r="O429" s="6">
        <v>57.64</v>
      </c>
      <c r="P429" s="1" t="s">
        <v>31</v>
      </c>
      <c r="Q429" s="1" t="s">
        <v>38</v>
      </c>
      <c r="R429" s="1" t="s">
        <v>26</v>
      </c>
    </row>
    <row r="430" spans="1:18" x14ac:dyDescent="0.25">
      <c r="A430" s="1" t="s">
        <v>504</v>
      </c>
      <c r="B430" s="2">
        <v>45111</v>
      </c>
      <c r="C430" s="1" t="s">
        <v>51</v>
      </c>
      <c r="D430" s="1" t="s">
        <v>98</v>
      </c>
      <c r="E430" s="1" t="s">
        <v>53</v>
      </c>
      <c r="F430" s="1" t="s">
        <v>22</v>
      </c>
      <c r="G430" s="1" t="s">
        <v>113</v>
      </c>
      <c r="H430">
        <v>37</v>
      </c>
      <c r="I430" s="4">
        <v>244.49</v>
      </c>
      <c r="J430" s="4">
        <v>9046.1299999999992</v>
      </c>
      <c r="K430" s="6">
        <v>5</v>
      </c>
      <c r="L430" s="4">
        <v>8593.82</v>
      </c>
      <c r="M430" s="4">
        <v>4103.3599999999997</v>
      </c>
      <c r="N430" s="4">
        <v>4490.46</v>
      </c>
      <c r="O430" s="6">
        <v>52.25</v>
      </c>
      <c r="P430" s="1" t="s">
        <v>31</v>
      </c>
      <c r="Q430" s="1" t="s">
        <v>32</v>
      </c>
      <c r="R430" s="1" t="s">
        <v>26</v>
      </c>
    </row>
    <row r="431" spans="1:18" x14ac:dyDescent="0.25">
      <c r="A431" s="1" t="s">
        <v>369</v>
      </c>
      <c r="B431" s="2">
        <v>44927</v>
      </c>
      <c r="C431" s="1" t="s">
        <v>19</v>
      </c>
      <c r="D431" s="1" t="s">
        <v>20</v>
      </c>
      <c r="E431" s="1" t="s">
        <v>76</v>
      </c>
      <c r="F431" s="1" t="s">
        <v>22</v>
      </c>
      <c r="G431" s="1" t="s">
        <v>40</v>
      </c>
      <c r="H431">
        <v>8</v>
      </c>
      <c r="I431" s="4">
        <v>1120.96</v>
      </c>
      <c r="J431" s="4">
        <v>8967.68</v>
      </c>
      <c r="K431" s="6">
        <v>5</v>
      </c>
      <c r="L431" s="4">
        <v>8519.2999999999993</v>
      </c>
      <c r="M431" s="4">
        <v>4535.55</v>
      </c>
      <c r="N431" s="4">
        <v>3983.75</v>
      </c>
      <c r="O431" s="6">
        <v>46.76</v>
      </c>
      <c r="P431" s="1" t="s">
        <v>62</v>
      </c>
      <c r="Q431" s="1" t="s">
        <v>106</v>
      </c>
      <c r="R431" s="1" t="s">
        <v>26</v>
      </c>
    </row>
    <row r="432" spans="1:18" x14ac:dyDescent="0.25">
      <c r="A432" s="1" t="s">
        <v>570</v>
      </c>
      <c r="B432" s="2">
        <v>45024</v>
      </c>
      <c r="C432" s="1" t="s">
        <v>51</v>
      </c>
      <c r="D432" s="1" t="s">
        <v>88</v>
      </c>
      <c r="E432" s="1" t="s">
        <v>42</v>
      </c>
      <c r="F432" s="1" t="s">
        <v>22</v>
      </c>
      <c r="G432" s="1" t="s">
        <v>170</v>
      </c>
      <c r="H432">
        <v>31</v>
      </c>
      <c r="I432" s="4">
        <v>273.64999999999998</v>
      </c>
      <c r="J432" s="4">
        <v>8483.15</v>
      </c>
      <c r="K432" s="6">
        <v>25</v>
      </c>
      <c r="L432" s="4">
        <v>6362.36</v>
      </c>
      <c r="M432" s="4">
        <v>3886.48</v>
      </c>
      <c r="N432" s="4">
        <v>2475.88</v>
      </c>
      <c r="O432" s="6">
        <v>38.909999999999997</v>
      </c>
      <c r="P432" s="1" t="s">
        <v>31</v>
      </c>
      <c r="Q432" s="1" t="s">
        <v>63</v>
      </c>
      <c r="R432" s="1" t="s">
        <v>26</v>
      </c>
    </row>
    <row r="433" spans="1:18" x14ac:dyDescent="0.25">
      <c r="A433" s="1" t="s">
        <v>256</v>
      </c>
      <c r="B433" s="2">
        <v>45564</v>
      </c>
      <c r="C433" s="1" t="s">
        <v>58</v>
      </c>
      <c r="D433" s="1" t="s">
        <v>79</v>
      </c>
      <c r="E433" s="1" t="s">
        <v>139</v>
      </c>
      <c r="F433" s="1" t="s">
        <v>47</v>
      </c>
      <c r="G433" s="1" t="s">
        <v>115</v>
      </c>
      <c r="H433">
        <v>8</v>
      </c>
      <c r="I433" s="4">
        <v>1049.53</v>
      </c>
      <c r="J433" s="4">
        <v>8396.24</v>
      </c>
      <c r="K433" s="6">
        <v>15</v>
      </c>
      <c r="L433" s="4">
        <v>7136.8</v>
      </c>
      <c r="M433" s="4">
        <v>4222.74</v>
      </c>
      <c r="N433" s="4">
        <v>2914.06</v>
      </c>
      <c r="O433" s="6">
        <v>40.83</v>
      </c>
      <c r="P433" s="1" t="s">
        <v>62</v>
      </c>
      <c r="Q433" s="1" t="s">
        <v>56</v>
      </c>
      <c r="R433" s="1" t="s">
        <v>26</v>
      </c>
    </row>
    <row r="434" spans="1:18" x14ac:dyDescent="0.25">
      <c r="A434" s="1" t="s">
        <v>297</v>
      </c>
      <c r="B434" s="2">
        <v>45018</v>
      </c>
      <c r="C434" s="1" t="s">
        <v>58</v>
      </c>
      <c r="D434" s="1" t="s">
        <v>150</v>
      </c>
      <c r="E434" s="1" t="s">
        <v>42</v>
      </c>
      <c r="F434" s="1" t="s">
        <v>22</v>
      </c>
      <c r="G434" s="1" t="s">
        <v>43</v>
      </c>
      <c r="H434">
        <v>19</v>
      </c>
      <c r="I434" s="4">
        <v>439.71</v>
      </c>
      <c r="J434" s="4">
        <v>8354.49</v>
      </c>
      <c r="K434" s="6">
        <v>25</v>
      </c>
      <c r="L434" s="4">
        <v>6265.87</v>
      </c>
      <c r="M434" s="4">
        <v>2617.56</v>
      </c>
      <c r="N434" s="4">
        <v>3648.31</v>
      </c>
      <c r="O434" s="6">
        <v>58.23</v>
      </c>
      <c r="P434" s="1" t="s">
        <v>31</v>
      </c>
      <c r="Q434" s="1" t="s">
        <v>106</v>
      </c>
      <c r="R434" s="1" t="s">
        <v>26</v>
      </c>
    </row>
    <row r="435" spans="1:18" x14ac:dyDescent="0.25">
      <c r="A435" s="1" t="s">
        <v>544</v>
      </c>
      <c r="B435" s="2">
        <v>45172</v>
      </c>
      <c r="C435" s="1" t="s">
        <v>51</v>
      </c>
      <c r="D435" s="1" t="s">
        <v>98</v>
      </c>
      <c r="E435" s="1" t="s">
        <v>72</v>
      </c>
      <c r="F435" s="1" t="s">
        <v>22</v>
      </c>
      <c r="G435" s="1" t="s">
        <v>117</v>
      </c>
      <c r="H435">
        <v>25</v>
      </c>
      <c r="I435" s="4">
        <v>327.06</v>
      </c>
      <c r="J435" s="4">
        <v>8176.5</v>
      </c>
      <c r="K435" s="6">
        <v>0</v>
      </c>
      <c r="L435" s="4">
        <v>8176.5</v>
      </c>
      <c r="M435" s="4">
        <v>4306.33</v>
      </c>
      <c r="N435" s="4">
        <v>3870.17</v>
      </c>
      <c r="O435" s="6">
        <v>47.33</v>
      </c>
      <c r="P435" s="1" t="s">
        <v>31</v>
      </c>
      <c r="Q435" s="1" t="s">
        <v>25</v>
      </c>
      <c r="R435" s="1" t="s">
        <v>26</v>
      </c>
    </row>
    <row r="436" spans="1:18" x14ac:dyDescent="0.25">
      <c r="A436" s="1" t="s">
        <v>490</v>
      </c>
      <c r="B436" s="2">
        <v>45112</v>
      </c>
      <c r="C436" s="1" t="s">
        <v>34</v>
      </c>
      <c r="D436" s="1" t="s">
        <v>46</v>
      </c>
      <c r="E436" s="1" t="s">
        <v>80</v>
      </c>
      <c r="F436" s="1" t="s">
        <v>54</v>
      </c>
      <c r="G436" s="1" t="s">
        <v>102</v>
      </c>
      <c r="H436">
        <v>12</v>
      </c>
      <c r="I436" s="4">
        <v>668.85</v>
      </c>
      <c r="J436" s="4">
        <v>8026.2</v>
      </c>
      <c r="K436" s="6">
        <v>10</v>
      </c>
      <c r="L436" s="4">
        <v>7223.58</v>
      </c>
      <c r="M436" s="4">
        <v>3310.55</v>
      </c>
      <c r="N436" s="4">
        <v>3913.03</v>
      </c>
      <c r="O436" s="6">
        <v>54.17</v>
      </c>
      <c r="P436" s="1" t="s">
        <v>31</v>
      </c>
      <c r="Q436" s="1" t="s">
        <v>56</v>
      </c>
      <c r="R436" s="1" t="s">
        <v>26</v>
      </c>
    </row>
    <row r="437" spans="1:18" x14ac:dyDescent="0.25">
      <c r="A437" s="1" t="s">
        <v>457</v>
      </c>
      <c r="B437" s="2">
        <v>45090</v>
      </c>
      <c r="C437" s="1" t="s">
        <v>58</v>
      </c>
      <c r="D437" s="1" t="s">
        <v>150</v>
      </c>
      <c r="E437" s="1" t="s">
        <v>120</v>
      </c>
      <c r="F437" s="1" t="s">
        <v>22</v>
      </c>
      <c r="G437" s="1" t="s">
        <v>124</v>
      </c>
      <c r="H437">
        <v>9</v>
      </c>
      <c r="I437" s="4">
        <v>859.71</v>
      </c>
      <c r="J437" s="4">
        <v>7737.39</v>
      </c>
      <c r="K437" s="6">
        <v>0</v>
      </c>
      <c r="L437" s="4">
        <v>7737.39</v>
      </c>
      <c r="M437" s="4">
        <v>5373.39</v>
      </c>
      <c r="N437" s="4">
        <v>2364</v>
      </c>
      <c r="O437" s="6">
        <v>30.55</v>
      </c>
      <c r="P437" s="1" t="s">
        <v>24</v>
      </c>
      <c r="Q437" s="1" t="s">
        <v>32</v>
      </c>
      <c r="R437" s="1" t="s">
        <v>26</v>
      </c>
    </row>
    <row r="438" spans="1:18" x14ac:dyDescent="0.25">
      <c r="A438" s="1" t="s">
        <v>552</v>
      </c>
      <c r="B438" s="2">
        <v>45634</v>
      </c>
      <c r="C438" s="1" t="s">
        <v>19</v>
      </c>
      <c r="D438" s="1" t="s">
        <v>159</v>
      </c>
      <c r="E438" s="1" t="s">
        <v>129</v>
      </c>
      <c r="F438" s="1" t="s">
        <v>47</v>
      </c>
      <c r="G438" s="1" t="s">
        <v>160</v>
      </c>
      <c r="H438">
        <v>16</v>
      </c>
      <c r="I438" s="4">
        <v>480.82</v>
      </c>
      <c r="J438" s="4">
        <v>7693.12</v>
      </c>
      <c r="K438" s="6">
        <v>0</v>
      </c>
      <c r="L438" s="4">
        <v>7693.12</v>
      </c>
      <c r="M438" s="4">
        <v>4418.34</v>
      </c>
      <c r="N438" s="4">
        <v>3274.78</v>
      </c>
      <c r="O438" s="6">
        <v>42.57</v>
      </c>
      <c r="P438" s="1" t="s">
        <v>62</v>
      </c>
      <c r="Q438" s="1" t="s">
        <v>63</v>
      </c>
      <c r="R438" s="1" t="s">
        <v>26</v>
      </c>
    </row>
    <row r="439" spans="1:18" x14ac:dyDescent="0.25">
      <c r="A439" s="1" t="s">
        <v>298</v>
      </c>
      <c r="B439" s="2">
        <v>45117</v>
      </c>
      <c r="C439" s="1" t="s">
        <v>19</v>
      </c>
      <c r="D439" s="1" t="s">
        <v>159</v>
      </c>
      <c r="E439" s="1" t="s">
        <v>53</v>
      </c>
      <c r="F439" s="1" t="s">
        <v>54</v>
      </c>
      <c r="G439" s="1" t="s">
        <v>102</v>
      </c>
      <c r="H439">
        <v>3</v>
      </c>
      <c r="I439" s="4">
        <v>2493.35</v>
      </c>
      <c r="J439" s="4">
        <v>7480.05</v>
      </c>
      <c r="K439" s="6">
        <v>15</v>
      </c>
      <c r="L439" s="4">
        <v>6358.04</v>
      </c>
      <c r="M439" s="4">
        <v>4046.18</v>
      </c>
      <c r="N439" s="4">
        <v>2311.86</v>
      </c>
      <c r="O439" s="6">
        <v>36.36</v>
      </c>
      <c r="P439" s="1" t="s">
        <v>44</v>
      </c>
      <c r="Q439" s="1" t="s">
        <v>56</v>
      </c>
      <c r="R439" s="1" t="s">
        <v>180</v>
      </c>
    </row>
    <row r="440" spans="1:18" x14ac:dyDescent="0.25">
      <c r="A440" s="1" t="s">
        <v>563</v>
      </c>
      <c r="B440" s="2">
        <v>45510</v>
      </c>
      <c r="C440" s="1" t="s">
        <v>19</v>
      </c>
      <c r="D440" s="1" t="s">
        <v>20</v>
      </c>
      <c r="E440" s="1" t="s">
        <v>28</v>
      </c>
      <c r="F440" s="1" t="s">
        <v>22</v>
      </c>
      <c r="G440" s="1" t="s">
        <v>43</v>
      </c>
      <c r="H440">
        <v>25</v>
      </c>
      <c r="I440" s="4">
        <v>292.2</v>
      </c>
      <c r="J440" s="4">
        <v>7305</v>
      </c>
      <c r="K440" s="6">
        <v>20</v>
      </c>
      <c r="L440" s="4">
        <v>5844</v>
      </c>
      <c r="M440" s="4">
        <v>3489.24</v>
      </c>
      <c r="N440" s="4">
        <v>2354.7600000000002</v>
      </c>
      <c r="O440" s="6">
        <v>40.29</v>
      </c>
      <c r="P440" s="1" t="s">
        <v>49</v>
      </c>
      <c r="Q440" s="1" t="s">
        <v>25</v>
      </c>
      <c r="R440" s="1" t="s">
        <v>26</v>
      </c>
    </row>
    <row r="441" spans="1:18" x14ac:dyDescent="0.25">
      <c r="A441" s="1" t="s">
        <v>454</v>
      </c>
      <c r="B441" s="2">
        <v>45105</v>
      </c>
      <c r="C441" s="1" t="s">
        <v>19</v>
      </c>
      <c r="D441" s="1" t="s">
        <v>166</v>
      </c>
      <c r="E441" s="1" t="s">
        <v>85</v>
      </c>
      <c r="F441" s="1" t="s">
        <v>22</v>
      </c>
      <c r="G441" s="1" t="s">
        <v>43</v>
      </c>
      <c r="H441">
        <v>19</v>
      </c>
      <c r="I441" s="4">
        <v>375.82</v>
      </c>
      <c r="J441" s="4">
        <v>7140.58</v>
      </c>
      <c r="K441" s="6">
        <v>0</v>
      </c>
      <c r="L441" s="4">
        <v>7140.58</v>
      </c>
      <c r="M441" s="4">
        <v>3070.04</v>
      </c>
      <c r="N441" s="4">
        <v>4070.54</v>
      </c>
      <c r="O441" s="6">
        <v>57.01</v>
      </c>
      <c r="P441" s="1" t="s">
        <v>24</v>
      </c>
      <c r="Q441" s="1" t="s">
        <v>38</v>
      </c>
      <c r="R441" s="1" t="s">
        <v>26</v>
      </c>
    </row>
    <row r="442" spans="1:18" x14ac:dyDescent="0.25">
      <c r="A442" s="1" t="s">
        <v>415</v>
      </c>
      <c r="B442" s="2">
        <v>45371</v>
      </c>
      <c r="C442" s="1" t="s">
        <v>19</v>
      </c>
      <c r="D442" s="1" t="s">
        <v>166</v>
      </c>
      <c r="E442" s="1" t="s">
        <v>65</v>
      </c>
      <c r="F442" s="1" t="s">
        <v>81</v>
      </c>
      <c r="G442" s="1" t="s">
        <v>92</v>
      </c>
      <c r="H442">
        <v>2</v>
      </c>
      <c r="I442" s="4">
        <v>3564.32</v>
      </c>
      <c r="J442" s="4">
        <v>7128.64</v>
      </c>
      <c r="K442" s="6">
        <v>25</v>
      </c>
      <c r="L442" s="4">
        <v>5346.48</v>
      </c>
      <c r="M442" s="4">
        <v>2403.2399999999998</v>
      </c>
      <c r="N442" s="4">
        <v>2943.24</v>
      </c>
      <c r="O442" s="6">
        <v>55.05</v>
      </c>
      <c r="P442" s="1" t="s">
        <v>49</v>
      </c>
      <c r="Q442" s="1" t="s">
        <v>56</v>
      </c>
      <c r="R442" s="1" t="s">
        <v>26</v>
      </c>
    </row>
    <row r="443" spans="1:18" x14ac:dyDescent="0.25">
      <c r="A443" s="1" t="s">
        <v>575</v>
      </c>
      <c r="B443" s="2">
        <v>45516</v>
      </c>
      <c r="C443" s="1" t="s">
        <v>58</v>
      </c>
      <c r="D443" s="1" t="s">
        <v>119</v>
      </c>
      <c r="E443" s="1" t="s">
        <v>21</v>
      </c>
      <c r="F443" s="1" t="s">
        <v>29</v>
      </c>
      <c r="G443" s="1" t="s">
        <v>30</v>
      </c>
      <c r="H443">
        <v>5</v>
      </c>
      <c r="I443" s="4">
        <v>1381.59</v>
      </c>
      <c r="J443" s="4">
        <v>6907.95</v>
      </c>
      <c r="K443" s="6">
        <v>15</v>
      </c>
      <c r="L443" s="4">
        <v>5871.76</v>
      </c>
      <c r="M443" s="4">
        <v>2918.4</v>
      </c>
      <c r="N443" s="4">
        <v>2953.36</v>
      </c>
      <c r="O443" s="6">
        <v>50.3</v>
      </c>
      <c r="P443" s="1" t="s">
        <v>24</v>
      </c>
      <c r="Q443" s="1" t="s">
        <v>56</v>
      </c>
      <c r="R443" s="1" t="s">
        <v>26</v>
      </c>
    </row>
    <row r="444" spans="1:18" x14ac:dyDescent="0.25">
      <c r="A444" s="1" t="s">
        <v>590</v>
      </c>
      <c r="B444" s="2">
        <v>44942</v>
      </c>
      <c r="C444" s="1" t="s">
        <v>51</v>
      </c>
      <c r="D444" s="1" t="s">
        <v>52</v>
      </c>
      <c r="E444" s="1" t="s">
        <v>80</v>
      </c>
      <c r="F444" s="1" t="s">
        <v>54</v>
      </c>
      <c r="G444" s="1" t="s">
        <v>99</v>
      </c>
      <c r="H444">
        <v>11</v>
      </c>
      <c r="I444" s="4">
        <v>604.16</v>
      </c>
      <c r="J444" s="4">
        <v>6645.76</v>
      </c>
      <c r="K444" s="6">
        <v>0</v>
      </c>
      <c r="L444" s="4">
        <v>6645.76</v>
      </c>
      <c r="M444" s="4">
        <v>3472.92</v>
      </c>
      <c r="N444" s="4">
        <v>3172.84</v>
      </c>
      <c r="O444" s="6">
        <v>47.74</v>
      </c>
      <c r="P444" s="1" t="s">
        <v>44</v>
      </c>
      <c r="Q444" s="1" t="s">
        <v>32</v>
      </c>
      <c r="R444" s="1" t="s">
        <v>26</v>
      </c>
    </row>
    <row r="445" spans="1:18" x14ac:dyDescent="0.25">
      <c r="A445" s="1" t="s">
        <v>394</v>
      </c>
      <c r="B445" s="2">
        <v>45050</v>
      </c>
      <c r="C445" s="1" t="s">
        <v>19</v>
      </c>
      <c r="D445" s="1" t="s">
        <v>159</v>
      </c>
      <c r="E445" s="1" t="s">
        <v>80</v>
      </c>
      <c r="F445" s="1" t="s">
        <v>29</v>
      </c>
      <c r="G445" s="1" t="s">
        <v>73</v>
      </c>
      <c r="H445">
        <v>7</v>
      </c>
      <c r="I445" s="4">
        <v>948.59</v>
      </c>
      <c r="J445" s="4">
        <v>6640.13</v>
      </c>
      <c r="K445" s="6">
        <v>15</v>
      </c>
      <c r="L445" s="4">
        <v>5644.11</v>
      </c>
      <c r="M445" s="4">
        <v>2789.38</v>
      </c>
      <c r="N445" s="4">
        <v>2854.73</v>
      </c>
      <c r="O445" s="6">
        <v>50.58</v>
      </c>
      <c r="P445" s="1" t="s">
        <v>31</v>
      </c>
      <c r="Q445" s="1" t="s">
        <v>38</v>
      </c>
      <c r="R445" s="1" t="s">
        <v>26</v>
      </c>
    </row>
    <row r="446" spans="1:18" x14ac:dyDescent="0.25">
      <c r="A446" s="1" t="s">
        <v>200</v>
      </c>
      <c r="B446" s="2">
        <v>45381</v>
      </c>
      <c r="C446" s="1" t="s">
        <v>34</v>
      </c>
      <c r="D446" s="1" t="s">
        <v>46</v>
      </c>
      <c r="E446" s="1" t="s">
        <v>129</v>
      </c>
      <c r="F446" s="1" t="s">
        <v>22</v>
      </c>
      <c r="G446" s="1" t="s">
        <v>94</v>
      </c>
      <c r="H446">
        <v>7</v>
      </c>
      <c r="I446" s="4">
        <v>931.61</v>
      </c>
      <c r="J446" s="4">
        <v>6521.27</v>
      </c>
      <c r="K446" s="6">
        <v>25</v>
      </c>
      <c r="L446" s="4">
        <v>4890.95</v>
      </c>
      <c r="M446" s="4">
        <v>3236.7</v>
      </c>
      <c r="N446" s="4">
        <v>1654.25</v>
      </c>
      <c r="O446" s="6">
        <v>33.82</v>
      </c>
      <c r="P446" s="1" t="s">
        <v>49</v>
      </c>
      <c r="Q446" s="1" t="s">
        <v>63</v>
      </c>
      <c r="R446" s="1" t="s">
        <v>26</v>
      </c>
    </row>
    <row r="447" spans="1:18" x14ac:dyDescent="0.25">
      <c r="A447" s="1" t="s">
        <v>237</v>
      </c>
      <c r="B447" s="2">
        <v>45153</v>
      </c>
      <c r="C447" s="1" t="s">
        <v>19</v>
      </c>
      <c r="D447" s="1" t="s">
        <v>159</v>
      </c>
      <c r="E447" s="1" t="s">
        <v>28</v>
      </c>
      <c r="F447" s="1" t="s">
        <v>54</v>
      </c>
      <c r="G447" s="1" t="s">
        <v>144</v>
      </c>
      <c r="H447">
        <v>6</v>
      </c>
      <c r="I447" s="4">
        <v>1080.05</v>
      </c>
      <c r="J447" s="4">
        <v>6480.3</v>
      </c>
      <c r="K447" s="6">
        <v>10</v>
      </c>
      <c r="L447" s="4">
        <v>5832.27</v>
      </c>
      <c r="M447" s="4">
        <v>3637.83</v>
      </c>
      <c r="N447" s="4">
        <v>2194.44</v>
      </c>
      <c r="O447" s="6">
        <v>37.630000000000003</v>
      </c>
      <c r="P447" s="1" t="s">
        <v>44</v>
      </c>
      <c r="Q447" s="1" t="s">
        <v>106</v>
      </c>
      <c r="R447" s="1" t="s">
        <v>26</v>
      </c>
    </row>
    <row r="448" spans="1:18" x14ac:dyDescent="0.25">
      <c r="A448" s="1" t="s">
        <v>276</v>
      </c>
      <c r="B448" s="2">
        <v>45521</v>
      </c>
      <c r="C448" s="1" t="s">
        <v>34</v>
      </c>
      <c r="D448" s="1" t="s">
        <v>46</v>
      </c>
      <c r="E448" s="1" t="s">
        <v>104</v>
      </c>
      <c r="F448" s="1" t="s">
        <v>22</v>
      </c>
      <c r="G448" s="1" t="s">
        <v>23</v>
      </c>
      <c r="H448">
        <v>35</v>
      </c>
      <c r="I448" s="4">
        <v>184.64</v>
      </c>
      <c r="J448" s="4">
        <v>6462.4</v>
      </c>
      <c r="K448" s="6">
        <v>25</v>
      </c>
      <c r="L448" s="4">
        <v>4846.8</v>
      </c>
      <c r="M448" s="4">
        <v>2183.92</v>
      </c>
      <c r="N448" s="4">
        <v>2662.88</v>
      </c>
      <c r="O448" s="6">
        <v>54.94</v>
      </c>
      <c r="P448" s="1" t="s">
        <v>49</v>
      </c>
      <c r="Q448" s="1" t="s">
        <v>106</v>
      </c>
      <c r="R448" s="1" t="s">
        <v>26</v>
      </c>
    </row>
    <row r="449" spans="1:18" x14ac:dyDescent="0.25">
      <c r="A449" s="1" t="s">
        <v>95</v>
      </c>
      <c r="B449" s="2">
        <v>45594</v>
      </c>
      <c r="C449" s="1" t="s">
        <v>51</v>
      </c>
      <c r="D449" s="1" t="s">
        <v>84</v>
      </c>
      <c r="E449" s="1" t="s">
        <v>72</v>
      </c>
      <c r="F449" s="1" t="s">
        <v>54</v>
      </c>
      <c r="G449" s="1" t="s">
        <v>96</v>
      </c>
      <c r="H449">
        <v>5</v>
      </c>
      <c r="I449" s="4">
        <v>1191.3599999999999</v>
      </c>
      <c r="J449" s="4">
        <v>5956.8</v>
      </c>
      <c r="K449" s="6">
        <v>20</v>
      </c>
      <c r="L449" s="4">
        <v>4765.4399999999996</v>
      </c>
      <c r="M449" s="4">
        <v>2046.15</v>
      </c>
      <c r="N449" s="4">
        <v>2719.29</v>
      </c>
      <c r="O449" s="6">
        <v>57.06</v>
      </c>
      <c r="P449" s="1" t="s">
        <v>31</v>
      </c>
      <c r="Q449" s="1" t="s">
        <v>56</v>
      </c>
      <c r="R449" s="1" t="s">
        <v>26</v>
      </c>
    </row>
    <row r="450" spans="1:18" x14ac:dyDescent="0.25">
      <c r="A450" s="1" t="s">
        <v>283</v>
      </c>
      <c r="B450" s="2">
        <v>45197</v>
      </c>
      <c r="C450" s="1" t="s">
        <v>19</v>
      </c>
      <c r="D450" s="1" t="s">
        <v>166</v>
      </c>
      <c r="E450" s="1" t="s">
        <v>139</v>
      </c>
      <c r="F450" s="1" t="s">
        <v>54</v>
      </c>
      <c r="G450" s="1" t="s">
        <v>99</v>
      </c>
      <c r="H450">
        <v>35</v>
      </c>
      <c r="I450" s="4">
        <v>169.22</v>
      </c>
      <c r="J450" s="4">
        <v>5922.7</v>
      </c>
      <c r="K450" s="6">
        <v>0</v>
      </c>
      <c r="L450" s="4">
        <v>5922.7</v>
      </c>
      <c r="M450" s="4">
        <v>3134.76</v>
      </c>
      <c r="N450" s="4">
        <v>2787.94</v>
      </c>
      <c r="O450" s="6">
        <v>47.07</v>
      </c>
      <c r="P450" s="1" t="s">
        <v>44</v>
      </c>
      <c r="Q450" s="1" t="s">
        <v>32</v>
      </c>
      <c r="R450" s="1" t="s">
        <v>26</v>
      </c>
    </row>
    <row r="451" spans="1:18" x14ac:dyDescent="0.25">
      <c r="A451" s="1" t="s">
        <v>151</v>
      </c>
      <c r="B451" s="2">
        <v>45271</v>
      </c>
      <c r="C451" s="1" t="s">
        <v>58</v>
      </c>
      <c r="D451" s="1" t="s">
        <v>119</v>
      </c>
      <c r="E451" s="1" t="s">
        <v>85</v>
      </c>
      <c r="F451" s="1" t="s">
        <v>22</v>
      </c>
      <c r="G451" s="1" t="s">
        <v>43</v>
      </c>
      <c r="H451">
        <v>15</v>
      </c>
      <c r="I451" s="4">
        <v>385.69</v>
      </c>
      <c r="J451" s="4">
        <v>5785.35</v>
      </c>
      <c r="K451" s="6">
        <v>15</v>
      </c>
      <c r="L451" s="4">
        <v>4917.55</v>
      </c>
      <c r="M451" s="4">
        <v>2009.84</v>
      </c>
      <c r="N451" s="4">
        <v>2907.71</v>
      </c>
      <c r="O451" s="6">
        <v>59.13</v>
      </c>
      <c r="P451" s="1" t="s">
        <v>62</v>
      </c>
      <c r="Q451" s="1" t="s">
        <v>63</v>
      </c>
      <c r="R451" s="1" t="s">
        <v>26</v>
      </c>
    </row>
    <row r="452" spans="1:18" x14ac:dyDescent="0.25">
      <c r="A452" s="1" t="s">
        <v>483</v>
      </c>
      <c r="B452" s="2">
        <v>45477</v>
      </c>
      <c r="C452" s="1" t="s">
        <v>19</v>
      </c>
      <c r="D452" s="1" t="s">
        <v>166</v>
      </c>
      <c r="E452" s="1" t="s">
        <v>36</v>
      </c>
      <c r="F452" s="1" t="s">
        <v>22</v>
      </c>
      <c r="G452" s="1" t="s">
        <v>43</v>
      </c>
      <c r="H452">
        <v>33</v>
      </c>
      <c r="I452" s="4">
        <v>172.23</v>
      </c>
      <c r="J452" s="4">
        <v>5683.59</v>
      </c>
      <c r="K452" s="6">
        <v>0</v>
      </c>
      <c r="L452" s="4">
        <v>5683.59</v>
      </c>
      <c r="M452" s="4">
        <v>2558.86</v>
      </c>
      <c r="N452" s="4">
        <v>3124.73</v>
      </c>
      <c r="O452" s="6">
        <v>54.98</v>
      </c>
      <c r="P452" s="1" t="s">
        <v>31</v>
      </c>
      <c r="Q452" s="1" t="s">
        <v>56</v>
      </c>
      <c r="R452" s="1" t="s">
        <v>26</v>
      </c>
    </row>
    <row r="453" spans="1:18" x14ac:dyDescent="0.25">
      <c r="A453" s="1" t="s">
        <v>175</v>
      </c>
      <c r="B453" s="2">
        <v>45629</v>
      </c>
      <c r="C453" s="1" t="s">
        <v>19</v>
      </c>
      <c r="D453" s="1" t="s">
        <v>166</v>
      </c>
      <c r="E453" s="1" t="s">
        <v>72</v>
      </c>
      <c r="F453" s="1" t="s">
        <v>54</v>
      </c>
      <c r="G453" s="1" t="s">
        <v>136</v>
      </c>
      <c r="H453">
        <v>5</v>
      </c>
      <c r="I453" s="4">
        <v>1091.6600000000001</v>
      </c>
      <c r="J453" s="4">
        <v>5458.3</v>
      </c>
      <c r="K453" s="6">
        <v>0</v>
      </c>
      <c r="L453" s="4">
        <v>5458.3</v>
      </c>
      <c r="M453" s="4">
        <v>3128.19</v>
      </c>
      <c r="N453" s="4">
        <v>2330.11</v>
      </c>
      <c r="O453" s="6">
        <v>42.69</v>
      </c>
      <c r="P453" s="1" t="s">
        <v>24</v>
      </c>
      <c r="Q453" s="1" t="s">
        <v>106</v>
      </c>
      <c r="R453" s="1" t="s">
        <v>26</v>
      </c>
    </row>
    <row r="454" spans="1:18" x14ac:dyDescent="0.25">
      <c r="A454" s="1" t="s">
        <v>173</v>
      </c>
      <c r="B454" s="2">
        <v>44941</v>
      </c>
      <c r="C454" s="1" t="s">
        <v>58</v>
      </c>
      <c r="D454" s="1" t="s">
        <v>59</v>
      </c>
      <c r="E454" s="1" t="s">
        <v>120</v>
      </c>
      <c r="F454" s="1" t="s">
        <v>22</v>
      </c>
      <c r="G454" s="1" t="s">
        <v>23</v>
      </c>
      <c r="H454">
        <v>13</v>
      </c>
      <c r="I454" s="4">
        <v>411.8</v>
      </c>
      <c r="J454" s="4">
        <v>5353.4</v>
      </c>
      <c r="K454" s="6">
        <v>10</v>
      </c>
      <c r="L454" s="4">
        <v>4818.0600000000004</v>
      </c>
      <c r="M454" s="4">
        <v>2186.59</v>
      </c>
      <c r="N454" s="4">
        <v>2631.47</v>
      </c>
      <c r="O454" s="6">
        <v>54.62</v>
      </c>
      <c r="P454" s="1" t="s">
        <v>31</v>
      </c>
      <c r="Q454" s="1" t="s">
        <v>106</v>
      </c>
      <c r="R454" s="1" t="s">
        <v>26</v>
      </c>
    </row>
    <row r="455" spans="1:18" x14ac:dyDescent="0.25">
      <c r="A455" s="1" t="s">
        <v>303</v>
      </c>
      <c r="B455" s="2">
        <v>45647</v>
      </c>
      <c r="C455" s="1" t="s">
        <v>51</v>
      </c>
      <c r="D455" s="1" t="s">
        <v>88</v>
      </c>
      <c r="E455" s="1" t="s">
        <v>85</v>
      </c>
      <c r="F455" s="1" t="s">
        <v>22</v>
      </c>
      <c r="G455" s="1" t="s">
        <v>94</v>
      </c>
      <c r="H455">
        <v>20</v>
      </c>
      <c r="I455" s="4">
        <v>258.88</v>
      </c>
      <c r="J455" s="4">
        <v>5177.6000000000004</v>
      </c>
      <c r="K455" s="6">
        <v>25</v>
      </c>
      <c r="L455" s="4">
        <v>3883.2</v>
      </c>
      <c r="M455" s="4">
        <v>2138.6999999999998</v>
      </c>
      <c r="N455" s="4">
        <v>1744.5</v>
      </c>
      <c r="O455" s="6">
        <v>44.92</v>
      </c>
      <c r="P455" s="1" t="s">
        <v>44</v>
      </c>
      <c r="Q455" s="1" t="s">
        <v>63</v>
      </c>
      <c r="R455" s="1" t="s">
        <v>26</v>
      </c>
    </row>
    <row r="456" spans="1:18" x14ac:dyDescent="0.25">
      <c r="A456" s="1" t="s">
        <v>589</v>
      </c>
      <c r="B456" s="2">
        <v>45546</v>
      </c>
      <c r="C456" s="1" t="s">
        <v>51</v>
      </c>
      <c r="D456" s="1" t="s">
        <v>98</v>
      </c>
      <c r="E456" s="1" t="s">
        <v>36</v>
      </c>
      <c r="F456" s="1" t="s">
        <v>22</v>
      </c>
      <c r="G456" s="1" t="s">
        <v>113</v>
      </c>
      <c r="H456">
        <v>6</v>
      </c>
      <c r="I456" s="4">
        <v>850.72</v>
      </c>
      <c r="J456" s="4">
        <v>5104.32</v>
      </c>
      <c r="K456" s="6">
        <v>15</v>
      </c>
      <c r="L456" s="4">
        <v>4338.67</v>
      </c>
      <c r="M456" s="4">
        <v>1910</v>
      </c>
      <c r="N456" s="4">
        <v>2428.67</v>
      </c>
      <c r="O456" s="6">
        <v>55.98</v>
      </c>
      <c r="P456" s="1" t="s">
        <v>62</v>
      </c>
      <c r="Q456" s="1" t="s">
        <v>63</v>
      </c>
      <c r="R456" s="1" t="s">
        <v>26</v>
      </c>
    </row>
    <row r="457" spans="1:18" x14ac:dyDescent="0.25">
      <c r="A457" s="1" t="s">
        <v>140</v>
      </c>
      <c r="B457" s="2">
        <v>45270</v>
      </c>
      <c r="C457" s="1" t="s">
        <v>51</v>
      </c>
      <c r="D457" s="1" t="s">
        <v>91</v>
      </c>
      <c r="E457" s="1" t="s">
        <v>112</v>
      </c>
      <c r="F457" s="1" t="s">
        <v>54</v>
      </c>
      <c r="G457" s="1" t="s">
        <v>102</v>
      </c>
      <c r="H457">
        <v>6</v>
      </c>
      <c r="I457" s="4">
        <v>816.9</v>
      </c>
      <c r="J457" s="4">
        <v>4901.3999999999996</v>
      </c>
      <c r="K457" s="6">
        <v>25</v>
      </c>
      <c r="L457" s="4">
        <v>3676.05</v>
      </c>
      <c r="M457" s="4">
        <v>2168.44</v>
      </c>
      <c r="N457" s="4">
        <v>1507.61</v>
      </c>
      <c r="O457" s="6">
        <v>41.01</v>
      </c>
      <c r="P457" s="1" t="s">
        <v>24</v>
      </c>
      <c r="Q457" s="1" t="s">
        <v>106</v>
      </c>
      <c r="R457" s="1" t="s">
        <v>26</v>
      </c>
    </row>
    <row r="458" spans="1:18" x14ac:dyDescent="0.25">
      <c r="A458" s="1" t="s">
        <v>401</v>
      </c>
      <c r="B458" s="2">
        <v>45585</v>
      </c>
      <c r="C458" s="1" t="s">
        <v>34</v>
      </c>
      <c r="D458" s="1" t="s">
        <v>133</v>
      </c>
      <c r="E458" s="1" t="s">
        <v>76</v>
      </c>
      <c r="F458" s="1" t="s">
        <v>54</v>
      </c>
      <c r="G458" s="1" t="s">
        <v>99</v>
      </c>
      <c r="H458">
        <v>6</v>
      </c>
      <c r="I458" s="4">
        <v>807.47</v>
      </c>
      <c r="J458" s="4">
        <v>4844.82</v>
      </c>
      <c r="K458" s="6">
        <v>5</v>
      </c>
      <c r="L458" s="4">
        <v>4602.58</v>
      </c>
      <c r="M458" s="4">
        <v>2419.9</v>
      </c>
      <c r="N458" s="4">
        <v>2182.6799999999998</v>
      </c>
      <c r="O458" s="6">
        <v>47.42</v>
      </c>
      <c r="P458" s="1" t="s">
        <v>31</v>
      </c>
      <c r="Q458" s="1" t="s">
        <v>106</v>
      </c>
      <c r="R458" s="1" t="s">
        <v>26</v>
      </c>
    </row>
    <row r="459" spans="1:18" x14ac:dyDescent="0.25">
      <c r="A459" s="1" t="s">
        <v>559</v>
      </c>
      <c r="B459" s="2">
        <v>45059</v>
      </c>
      <c r="C459" s="1" t="s">
        <v>34</v>
      </c>
      <c r="D459" s="1" t="s">
        <v>133</v>
      </c>
      <c r="E459" s="1" t="s">
        <v>120</v>
      </c>
      <c r="F459" s="1" t="s">
        <v>22</v>
      </c>
      <c r="G459" s="1" t="s">
        <v>170</v>
      </c>
      <c r="H459">
        <v>7</v>
      </c>
      <c r="I459" s="4">
        <v>665.98</v>
      </c>
      <c r="J459" s="4">
        <v>4661.8599999999997</v>
      </c>
      <c r="K459" s="6">
        <v>0</v>
      </c>
      <c r="L459" s="4">
        <v>4661.8599999999997</v>
      </c>
      <c r="M459" s="4">
        <v>1925.97</v>
      </c>
      <c r="N459" s="4">
        <v>2735.89</v>
      </c>
      <c r="O459" s="6">
        <v>58.69</v>
      </c>
      <c r="P459" s="1" t="s">
        <v>49</v>
      </c>
      <c r="Q459" s="1" t="s">
        <v>56</v>
      </c>
      <c r="R459" s="1" t="s">
        <v>26</v>
      </c>
    </row>
    <row r="460" spans="1:18" x14ac:dyDescent="0.25">
      <c r="A460" s="1" t="s">
        <v>179</v>
      </c>
      <c r="B460" s="2">
        <v>45535</v>
      </c>
      <c r="C460" s="1" t="s">
        <v>19</v>
      </c>
      <c r="D460" s="1" t="s">
        <v>159</v>
      </c>
      <c r="E460" s="1" t="s">
        <v>28</v>
      </c>
      <c r="F460" s="1" t="s">
        <v>29</v>
      </c>
      <c r="G460" s="1" t="s">
        <v>68</v>
      </c>
      <c r="H460">
        <v>5</v>
      </c>
      <c r="I460" s="4">
        <v>915.26</v>
      </c>
      <c r="J460" s="4">
        <v>4576.3</v>
      </c>
      <c r="K460" s="6">
        <v>15</v>
      </c>
      <c r="L460" s="4">
        <v>3889.86</v>
      </c>
      <c r="M460" s="4">
        <v>2081.66</v>
      </c>
      <c r="N460" s="4">
        <v>1808.2</v>
      </c>
      <c r="O460" s="6">
        <v>46.48</v>
      </c>
      <c r="P460" s="1" t="s">
        <v>62</v>
      </c>
      <c r="Q460" s="1" t="s">
        <v>38</v>
      </c>
      <c r="R460" s="1" t="s">
        <v>180</v>
      </c>
    </row>
    <row r="461" spans="1:18" x14ac:dyDescent="0.25">
      <c r="A461" s="1" t="s">
        <v>309</v>
      </c>
      <c r="B461" s="2">
        <v>45410</v>
      </c>
      <c r="C461" s="1" t="s">
        <v>58</v>
      </c>
      <c r="D461" s="1" t="s">
        <v>59</v>
      </c>
      <c r="E461" s="1" t="s">
        <v>28</v>
      </c>
      <c r="F461" s="1" t="s">
        <v>22</v>
      </c>
      <c r="G461" s="1" t="s">
        <v>94</v>
      </c>
      <c r="H461">
        <v>4</v>
      </c>
      <c r="I461" s="4">
        <v>1126.73</v>
      </c>
      <c r="J461" s="4">
        <v>4506.92</v>
      </c>
      <c r="K461" s="6">
        <v>0</v>
      </c>
      <c r="L461" s="4">
        <v>4506.92</v>
      </c>
      <c r="M461" s="4">
        <v>3136.1</v>
      </c>
      <c r="N461" s="4">
        <v>1370.82</v>
      </c>
      <c r="O461" s="6">
        <v>30.42</v>
      </c>
      <c r="P461" s="1" t="s">
        <v>24</v>
      </c>
      <c r="Q461" s="1" t="s">
        <v>38</v>
      </c>
      <c r="R461" s="1" t="s">
        <v>26</v>
      </c>
    </row>
    <row r="462" spans="1:18" x14ac:dyDescent="0.25">
      <c r="A462" s="1" t="s">
        <v>620</v>
      </c>
      <c r="B462" s="2">
        <v>45273</v>
      </c>
      <c r="C462" s="1" t="s">
        <v>34</v>
      </c>
      <c r="D462" s="1" t="s">
        <v>46</v>
      </c>
      <c r="E462" s="1" t="s">
        <v>104</v>
      </c>
      <c r="F462" s="1" t="s">
        <v>22</v>
      </c>
      <c r="G462" s="1" t="s">
        <v>23</v>
      </c>
      <c r="H462">
        <v>16</v>
      </c>
      <c r="I462" s="4">
        <v>271.83</v>
      </c>
      <c r="J462" s="4">
        <v>4349.28</v>
      </c>
      <c r="K462" s="6">
        <v>10</v>
      </c>
      <c r="L462" s="4">
        <v>3914.35</v>
      </c>
      <c r="M462" s="4">
        <v>2285.9</v>
      </c>
      <c r="N462" s="4">
        <v>1628.45</v>
      </c>
      <c r="O462" s="6">
        <v>41.6</v>
      </c>
      <c r="P462" s="1" t="s">
        <v>31</v>
      </c>
      <c r="Q462" s="1" t="s">
        <v>32</v>
      </c>
      <c r="R462" s="1" t="s">
        <v>26</v>
      </c>
    </row>
    <row r="463" spans="1:18" x14ac:dyDescent="0.25">
      <c r="A463" s="1" t="s">
        <v>588</v>
      </c>
      <c r="B463" s="2">
        <v>45547</v>
      </c>
      <c r="C463" s="1" t="s">
        <v>34</v>
      </c>
      <c r="D463" s="1" t="s">
        <v>46</v>
      </c>
      <c r="E463" s="1" t="s">
        <v>80</v>
      </c>
      <c r="F463" s="1" t="s">
        <v>29</v>
      </c>
      <c r="G463" s="1" t="s">
        <v>73</v>
      </c>
      <c r="H463">
        <v>12</v>
      </c>
      <c r="I463" s="4">
        <v>361.34</v>
      </c>
      <c r="J463" s="4">
        <v>4336.08</v>
      </c>
      <c r="K463" s="6">
        <v>20</v>
      </c>
      <c r="L463" s="4">
        <v>3468.86</v>
      </c>
      <c r="M463" s="4">
        <v>2029.57</v>
      </c>
      <c r="N463" s="4">
        <v>1439.29</v>
      </c>
      <c r="O463" s="6">
        <v>41.49</v>
      </c>
      <c r="P463" s="1" t="s">
        <v>31</v>
      </c>
      <c r="Q463" s="1" t="s">
        <v>25</v>
      </c>
      <c r="R463" s="1" t="s">
        <v>26</v>
      </c>
    </row>
    <row r="464" spans="1:18" x14ac:dyDescent="0.25">
      <c r="A464" s="1" t="s">
        <v>619</v>
      </c>
      <c r="B464" s="2">
        <v>45138</v>
      </c>
      <c r="C464" s="1" t="s">
        <v>34</v>
      </c>
      <c r="D464" s="1" t="s">
        <v>46</v>
      </c>
      <c r="E464" s="1" t="s">
        <v>120</v>
      </c>
      <c r="F464" s="1" t="s">
        <v>29</v>
      </c>
      <c r="G464" s="1" t="s">
        <v>66</v>
      </c>
      <c r="H464">
        <v>1</v>
      </c>
      <c r="I464" s="4">
        <v>4322.7700000000004</v>
      </c>
      <c r="J464" s="4">
        <v>4322.7700000000004</v>
      </c>
      <c r="K464" s="6">
        <v>20</v>
      </c>
      <c r="L464" s="4">
        <v>3458.22</v>
      </c>
      <c r="M464" s="4">
        <v>1916.61</v>
      </c>
      <c r="N464" s="4">
        <v>1541.61</v>
      </c>
      <c r="O464" s="6">
        <v>44.58</v>
      </c>
      <c r="P464" s="1" t="s">
        <v>31</v>
      </c>
      <c r="Q464" s="1" t="s">
        <v>38</v>
      </c>
      <c r="R464" s="1" t="s">
        <v>26</v>
      </c>
    </row>
    <row r="465" spans="1:18" x14ac:dyDescent="0.25">
      <c r="A465" s="1" t="s">
        <v>148</v>
      </c>
      <c r="B465" s="2">
        <v>45404</v>
      </c>
      <c r="C465" s="1" t="s">
        <v>51</v>
      </c>
      <c r="D465" s="1" t="s">
        <v>98</v>
      </c>
      <c r="E465" s="1" t="s">
        <v>65</v>
      </c>
      <c r="F465" s="1" t="s">
        <v>54</v>
      </c>
      <c r="G465" s="1" t="s">
        <v>102</v>
      </c>
      <c r="H465">
        <v>14</v>
      </c>
      <c r="I465" s="4">
        <v>300.94</v>
      </c>
      <c r="J465" s="4">
        <v>4213.16</v>
      </c>
      <c r="K465" s="6">
        <v>15</v>
      </c>
      <c r="L465" s="4">
        <v>3581.19</v>
      </c>
      <c r="M465" s="4">
        <v>1787.96</v>
      </c>
      <c r="N465" s="4">
        <v>1793.23</v>
      </c>
      <c r="O465" s="6">
        <v>50.07</v>
      </c>
      <c r="P465" s="1" t="s">
        <v>62</v>
      </c>
      <c r="Q465" s="1" t="s">
        <v>56</v>
      </c>
      <c r="R465" s="1" t="s">
        <v>26</v>
      </c>
    </row>
    <row r="466" spans="1:18" x14ac:dyDescent="0.25">
      <c r="A466" s="1" t="s">
        <v>397</v>
      </c>
      <c r="B466" s="2">
        <v>45154</v>
      </c>
      <c r="C466" s="1" t="s">
        <v>51</v>
      </c>
      <c r="D466" s="1" t="s">
        <v>88</v>
      </c>
      <c r="E466" s="1" t="s">
        <v>42</v>
      </c>
      <c r="F466" s="1" t="s">
        <v>54</v>
      </c>
      <c r="G466" s="1" t="s">
        <v>136</v>
      </c>
      <c r="H466">
        <v>9</v>
      </c>
      <c r="I466" s="4">
        <v>435.42</v>
      </c>
      <c r="J466" s="4">
        <v>3918.78</v>
      </c>
      <c r="K466" s="6">
        <v>0</v>
      </c>
      <c r="L466" s="4">
        <v>3918.78</v>
      </c>
      <c r="M466" s="4">
        <v>2543.73</v>
      </c>
      <c r="N466" s="4">
        <v>1375.05</v>
      </c>
      <c r="O466" s="6">
        <v>35.090000000000003</v>
      </c>
      <c r="P466" s="1" t="s">
        <v>49</v>
      </c>
      <c r="Q466" s="1" t="s">
        <v>106</v>
      </c>
      <c r="R466" s="1" t="s">
        <v>26</v>
      </c>
    </row>
    <row r="467" spans="1:18" x14ac:dyDescent="0.25">
      <c r="A467" s="1" t="s">
        <v>466</v>
      </c>
      <c r="B467" s="2">
        <v>45346</v>
      </c>
      <c r="C467" s="1" t="s">
        <v>34</v>
      </c>
      <c r="D467" s="1" t="s">
        <v>71</v>
      </c>
      <c r="E467" s="1" t="s">
        <v>65</v>
      </c>
      <c r="F467" s="1" t="s">
        <v>81</v>
      </c>
      <c r="G467" s="1" t="s">
        <v>163</v>
      </c>
      <c r="H467">
        <v>7</v>
      </c>
      <c r="I467" s="4">
        <v>557.07000000000005</v>
      </c>
      <c r="J467" s="4">
        <v>3899.49</v>
      </c>
      <c r="K467" s="6">
        <v>5</v>
      </c>
      <c r="L467" s="4">
        <v>3704.52</v>
      </c>
      <c r="M467" s="4">
        <v>2029.06</v>
      </c>
      <c r="N467" s="4">
        <v>1675.46</v>
      </c>
      <c r="O467" s="6">
        <v>45.23</v>
      </c>
      <c r="P467" s="1" t="s">
        <v>24</v>
      </c>
      <c r="Q467" s="1" t="s">
        <v>38</v>
      </c>
      <c r="R467" s="1" t="s">
        <v>26</v>
      </c>
    </row>
    <row r="468" spans="1:18" x14ac:dyDescent="0.25">
      <c r="A468" s="1" t="s">
        <v>567</v>
      </c>
      <c r="B468" s="2">
        <v>45236</v>
      </c>
      <c r="C468" s="1" t="s">
        <v>58</v>
      </c>
      <c r="D468" s="1" t="s">
        <v>79</v>
      </c>
      <c r="E468" s="1" t="s">
        <v>139</v>
      </c>
      <c r="F468" s="1" t="s">
        <v>22</v>
      </c>
      <c r="G468" s="1" t="s">
        <v>113</v>
      </c>
      <c r="H468">
        <v>39</v>
      </c>
      <c r="I468" s="4">
        <v>98.26</v>
      </c>
      <c r="J468" s="4">
        <v>3832.14</v>
      </c>
      <c r="K468" s="6">
        <v>5</v>
      </c>
      <c r="L468" s="4">
        <v>3640.53</v>
      </c>
      <c r="M468" s="4">
        <v>2541.1799999999998</v>
      </c>
      <c r="N468" s="4">
        <v>1099.3499999999999</v>
      </c>
      <c r="O468" s="6">
        <v>30.2</v>
      </c>
      <c r="P468" s="1" t="s">
        <v>24</v>
      </c>
      <c r="Q468" s="1" t="s">
        <v>38</v>
      </c>
      <c r="R468" s="1" t="s">
        <v>26</v>
      </c>
    </row>
    <row r="469" spans="1:18" x14ac:dyDescent="0.25">
      <c r="A469" s="1" t="s">
        <v>258</v>
      </c>
      <c r="B469" s="2">
        <v>45446</v>
      </c>
      <c r="C469" s="1" t="s">
        <v>58</v>
      </c>
      <c r="D469" s="1" t="s">
        <v>126</v>
      </c>
      <c r="E469" s="1" t="s">
        <v>28</v>
      </c>
      <c r="F469" s="1" t="s">
        <v>22</v>
      </c>
      <c r="G469" s="1" t="s">
        <v>94</v>
      </c>
      <c r="H469">
        <v>24</v>
      </c>
      <c r="I469" s="4">
        <v>155.80000000000001</v>
      </c>
      <c r="J469" s="4">
        <v>3739.2</v>
      </c>
      <c r="K469" s="6">
        <v>20</v>
      </c>
      <c r="L469" s="4">
        <v>2991.36</v>
      </c>
      <c r="M469" s="4">
        <v>1684.81</v>
      </c>
      <c r="N469" s="4">
        <v>1306.55</v>
      </c>
      <c r="O469" s="6">
        <v>43.68</v>
      </c>
      <c r="P469" s="1" t="s">
        <v>31</v>
      </c>
      <c r="Q469" s="1" t="s">
        <v>56</v>
      </c>
      <c r="R469" s="1" t="s">
        <v>26</v>
      </c>
    </row>
    <row r="470" spans="1:18" x14ac:dyDescent="0.25">
      <c r="A470" s="1" t="s">
        <v>233</v>
      </c>
      <c r="B470" s="2">
        <v>45059</v>
      </c>
      <c r="C470" s="1" t="s">
        <v>51</v>
      </c>
      <c r="D470" s="1" t="s">
        <v>98</v>
      </c>
      <c r="E470" s="1" t="s">
        <v>36</v>
      </c>
      <c r="F470" s="1" t="s">
        <v>47</v>
      </c>
      <c r="G470" s="1" t="s">
        <v>230</v>
      </c>
      <c r="H470">
        <v>8</v>
      </c>
      <c r="I470" s="4">
        <v>463.24</v>
      </c>
      <c r="J470" s="4">
        <v>3705.92</v>
      </c>
      <c r="K470" s="6">
        <v>25</v>
      </c>
      <c r="L470" s="4">
        <v>2779.44</v>
      </c>
      <c r="M470" s="4">
        <v>1470.87</v>
      </c>
      <c r="N470" s="4">
        <v>1308.57</v>
      </c>
      <c r="O470" s="6">
        <v>47.08</v>
      </c>
      <c r="P470" s="1" t="s">
        <v>62</v>
      </c>
      <c r="Q470" s="1" t="s">
        <v>25</v>
      </c>
      <c r="R470" s="1" t="s">
        <v>26</v>
      </c>
    </row>
    <row r="471" spans="1:18" x14ac:dyDescent="0.25">
      <c r="A471" s="1" t="s">
        <v>265</v>
      </c>
      <c r="B471" s="2">
        <v>45372</v>
      </c>
      <c r="C471" s="1" t="s">
        <v>58</v>
      </c>
      <c r="D471" s="1" t="s">
        <v>126</v>
      </c>
      <c r="E471" s="1" t="s">
        <v>36</v>
      </c>
      <c r="F471" s="1" t="s">
        <v>22</v>
      </c>
      <c r="G471" s="1" t="s">
        <v>40</v>
      </c>
      <c r="H471">
        <v>29</v>
      </c>
      <c r="I471" s="4">
        <v>127.44</v>
      </c>
      <c r="J471" s="4">
        <v>3695.76</v>
      </c>
      <c r="K471" s="6">
        <v>10</v>
      </c>
      <c r="L471" s="4">
        <v>3326.18</v>
      </c>
      <c r="M471" s="4">
        <v>1944</v>
      </c>
      <c r="N471" s="4">
        <v>1382.18</v>
      </c>
      <c r="O471" s="6">
        <v>41.55</v>
      </c>
      <c r="P471" s="1" t="s">
        <v>44</v>
      </c>
      <c r="Q471" s="1" t="s">
        <v>63</v>
      </c>
      <c r="R471" s="1" t="s">
        <v>26</v>
      </c>
    </row>
    <row r="472" spans="1:18" x14ac:dyDescent="0.25">
      <c r="A472" s="1" t="s">
        <v>18</v>
      </c>
      <c r="B472" s="2">
        <v>45485</v>
      </c>
      <c r="C472" s="1" t="s">
        <v>19</v>
      </c>
      <c r="D472" s="1" t="s">
        <v>20</v>
      </c>
      <c r="E472" s="1" t="s">
        <v>21</v>
      </c>
      <c r="F472" s="1" t="s">
        <v>22</v>
      </c>
      <c r="G472" s="1" t="s">
        <v>23</v>
      </c>
      <c r="H472">
        <v>15</v>
      </c>
      <c r="I472" s="4">
        <v>236.28</v>
      </c>
      <c r="J472" s="4">
        <v>3544.2</v>
      </c>
      <c r="K472" s="6">
        <v>0</v>
      </c>
      <c r="L472" s="4">
        <v>3544.2</v>
      </c>
      <c r="M472" s="4">
        <v>2137.19</v>
      </c>
      <c r="N472" s="4">
        <v>1407.01</v>
      </c>
      <c r="O472" s="6">
        <v>39.700000000000003</v>
      </c>
      <c r="P472" s="1" t="s">
        <v>24</v>
      </c>
      <c r="Q472" s="1" t="s">
        <v>25</v>
      </c>
      <c r="R472" s="1" t="s">
        <v>26</v>
      </c>
    </row>
    <row r="473" spans="1:18" x14ac:dyDescent="0.25">
      <c r="A473" s="1" t="s">
        <v>612</v>
      </c>
      <c r="B473" s="2">
        <v>45289</v>
      </c>
      <c r="C473" s="1" t="s">
        <v>34</v>
      </c>
      <c r="D473" s="1" t="s">
        <v>71</v>
      </c>
      <c r="E473" s="1" t="s">
        <v>28</v>
      </c>
      <c r="F473" s="1" t="s">
        <v>22</v>
      </c>
      <c r="G473" s="1" t="s">
        <v>170</v>
      </c>
      <c r="H473">
        <v>35</v>
      </c>
      <c r="I473" s="4">
        <v>100.96</v>
      </c>
      <c r="J473" s="4">
        <v>3533.6</v>
      </c>
      <c r="K473" s="6">
        <v>20</v>
      </c>
      <c r="L473" s="4">
        <v>2826.88</v>
      </c>
      <c r="M473" s="4">
        <v>1712.09</v>
      </c>
      <c r="N473" s="4">
        <v>1114.79</v>
      </c>
      <c r="O473" s="6">
        <v>39.44</v>
      </c>
      <c r="P473" s="1" t="s">
        <v>24</v>
      </c>
      <c r="Q473" s="1" t="s">
        <v>106</v>
      </c>
      <c r="R473" s="1" t="s">
        <v>26</v>
      </c>
    </row>
    <row r="474" spans="1:18" x14ac:dyDescent="0.25">
      <c r="A474" s="1" t="s">
        <v>621</v>
      </c>
      <c r="B474" s="2">
        <v>45648</v>
      </c>
      <c r="C474" s="1" t="s">
        <v>19</v>
      </c>
      <c r="D474" s="1" t="s">
        <v>155</v>
      </c>
      <c r="E474" s="1" t="s">
        <v>120</v>
      </c>
      <c r="F474" s="1" t="s">
        <v>22</v>
      </c>
      <c r="G474" s="1" t="s">
        <v>113</v>
      </c>
      <c r="H474">
        <v>25</v>
      </c>
      <c r="I474" s="4">
        <v>140.26</v>
      </c>
      <c r="J474" s="4">
        <v>3506.5</v>
      </c>
      <c r="K474" s="6">
        <v>15</v>
      </c>
      <c r="L474" s="4">
        <v>2980.53</v>
      </c>
      <c r="M474" s="4">
        <v>1542.65</v>
      </c>
      <c r="N474" s="4">
        <v>1437.88</v>
      </c>
      <c r="O474" s="6">
        <v>48.24</v>
      </c>
      <c r="P474" s="1" t="s">
        <v>31</v>
      </c>
      <c r="Q474" s="1" t="s">
        <v>25</v>
      </c>
      <c r="R474" s="1" t="s">
        <v>26</v>
      </c>
    </row>
    <row r="475" spans="1:18" x14ac:dyDescent="0.25">
      <c r="A475" s="1" t="s">
        <v>255</v>
      </c>
      <c r="B475" s="2">
        <v>45147</v>
      </c>
      <c r="C475" s="1" t="s">
        <v>58</v>
      </c>
      <c r="D475" s="1" t="s">
        <v>126</v>
      </c>
      <c r="E475" s="1" t="s">
        <v>85</v>
      </c>
      <c r="F475" s="1" t="s">
        <v>22</v>
      </c>
      <c r="G475" s="1" t="s">
        <v>40</v>
      </c>
      <c r="H475">
        <v>40</v>
      </c>
      <c r="I475" s="4">
        <v>85.88</v>
      </c>
      <c r="J475" s="4">
        <v>3435.2</v>
      </c>
      <c r="K475" s="6">
        <v>0</v>
      </c>
      <c r="L475" s="4">
        <v>3435.2</v>
      </c>
      <c r="M475" s="4">
        <v>1393.66</v>
      </c>
      <c r="N475" s="4">
        <v>2041.54</v>
      </c>
      <c r="O475" s="6">
        <v>59.43</v>
      </c>
      <c r="P475" s="1" t="s">
        <v>49</v>
      </c>
      <c r="Q475" s="1" t="s">
        <v>25</v>
      </c>
      <c r="R475" s="1" t="s">
        <v>26</v>
      </c>
    </row>
    <row r="476" spans="1:18" x14ac:dyDescent="0.25">
      <c r="A476" s="1" t="s">
        <v>137</v>
      </c>
      <c r="B476" s="2">
        <v>45620</v>
      </c>
      <c r="C476" s="1" t="s">
        <v>34</v>
      </c>
      <c r="D476" s="1" t="s">
        <v>133</v>
      </c>
      <c r="E476" s="1" t="s">
        <v>28</v>
      </c>
      <c r="F476" s="1" t="s">
        <v>22</v>
      </c>
      <c r="G476" s="1" t="s">
        <v>23</v>
      </c>
      <c r="H476">
        <v>9</v>
      </c>
      <c r="I476" s="4">
        <v>294.86</v>
      </c>
      <c r="J476" s="4">
        <v>2653.74</v>
      </c>
      <c r="K476" s="6">
        <v>25</v>
      </c>
      <c r="L476" s="4">
        <v>1990.3</v>
      </c>
      <c r="M476" s="4">
        <v>1357.6</v>
      </c>
      <c r="N476" s="4">
        <v>632.70000000000005</v>
      </c>
      <c r="O476" s="6">
        <v>31.79</v>
      </c>
      <c r="P476" s="1" t="s">
        <v>49</v>
      </c>
      <c r="Q476" s="1" t="s">
        <v>25</v>
      </c>
      <c r="R476" s="1" t="s">
        <v>26</v>
      </c>
    </row>
    <row r="477" spans="1:18" x14ac:dyDescent="0.25">
      <c r="A477" s="1" t="s">
        <v>380</v>
      </c>
      <c r="B477" s="2">
        <v>45086</v>
      </c>
      <c r="C477" s="1" t="s">
        <v>58</v>
      </c>
      <c r="D477" s="1" t="s">
        <v>79</v>
      </c>
      <c r="E477" s="1" t="s">
        <v>139</v>
      </c>
      <c r="F477" s="1" t="s">
        <v>22</v>
      </c>
      <c r="G477" s="1" t="s">
        <v>124</v>
      </c>
      <c r="H477">
        <v>6</v>
      </c>
      <c r="I477" s="4">
        <v>427.1</v>
      </c>
      <c r="J477" s="4">
        <v>2562.6</v>
      </c>
      <c r="K477" s="6">
        <v>20</v>
      </c>
      <c r="L477" s="4">
        <v>2050.08</v>
      </c>
      <c r="M477" s="4">
        <v>1386.42</v>
      </c>
      <c r="N477" s="4">
        <v>663.66</v>
      </c>
      <c r="O477" s="6">
        <v>32.369999999999997</v>
      </c>
      <c r="P477" s="1" t="s">
        <v>31</v>
      </c>
      <c r="Q477" s="1" t="s">
        <v>38</v>
      </c>
      <c r="R477" s="1" t="s">
        <v>26</v>
      </c>
    </row>
    <row r="478" spans="1:18" x14ac:dyDescent="0.25">
      <c r="A478" s="1" t="s">
        <v>234</v>
      </c>
      <c r="B478" s="2">
        <v>45516</v>
      </c>
      <c r="C478" s="1" t="s">
        <v>34</v>
      </c>
      <c r="D478" s="1" t="s">
        <v>35</v>
      </c>
      <c r="E478" s="1" t="s">
        <v>129</v>
      </c>
      <c r="F478" s="1" t="s">
        <v>54</v>
      </c>
      <c r="G478" s="1" t="s">
        <v>235</v>
      </c>
      <c r="H478">
        <v>2</v>
      </c>
      <c r="I478" s="4">
        <v>1230.42</v>
      </c>
      <c r="J478" s="4">
        <v>2460.84</v>
      </c>
      <c r="K478" s="6">
        <v>0</v>
      </c>
      <c r="L478" s="4">
        <v>2460.84</v>
      </c>
      <c r="M478" s="4">
        <v>1620.79</v>
      </c>
      <c r="N478" s="4">
        <v>840.05</v>
      </c>
      <c r="O478" s="6">
        <v>34.14</v>
      </c>
      <c r="P478" s="1" t="s">
        <v>62</v>
      </c>
      <c r="Q478" s="1" t="s">
        <v>25</v>
      </c>
      <c r="R478" s="1" t="s">
        <v>26</v>
      </c>
    </row>
    <row r="479" spans="1:18" x14ac:dyDescent="0.25">
      <c r="A479" s="1" t="s">
        <v>195</v>
      </c>
      <c r="B479" s="2">
        <v>45520</v>
      </c>
      <c r="C479" s="1" t="s">
        <v>58</v>
      </c>
      <c r="D479" s="1" t="s">
        <v>59</v>
      </c>
      <c r="E479" s="1" t="s">
        <v>72</v>
      </c>
      <c r="F479" s="1" t="s">
        <v>81</v>
      </c>
      <c r="G479" s="1" t="s">
        <v>186</v>
      </c>
      <c r="H479">
        <v>1</v>
      </c>
      <c r="I479" s="4">
        <v>2406.14</v>
      </c>
      <c r="J479" s="4">
        <v>2406.14</v>
      </c>
      <c r="K479" s="6">
        <v>10</v>
      </c>
      <c r="L479" s="4">
        <v>2165.5300000000002</v>
      </c>
      <c r="M479" s="4">
        <v>1410.29</v>
      </c>
      <c r="N479" s="4">
        <v>755.24</v>
      </c>
      <c r="O479" s="6">
        <v>34.880000000000003</v>
      </c>
      <c r="P479" s="1" t="s">
        <v>62</v>
      </c>
      <c r="Q479" s="1" t="s">
        <v>106</v>
      </c>
      <c r="R479" s="1" t="s">
        <v>26</v>
      </c>
    </row>
    <row r="480" spans="1:18" x14ac:dyDescent="0.25">
      <c r="A480" s="1" t="s">
        <v>547</v>
      </c>
      <c r="B480" s="2">
        <v>45437</v>
      </c>
      <c r="C480" s="1" t="s">
        <v>58</v>
      </c>
      <c r="D480" s="1" t="s">
        <v>79</v>
      </c>
      <c r="E480" s="1" t="s">
        <v>80</v>
      </c>
      <c r="F480" s="1" t="s">
        <v>29</v>
      </c>
      <c r="G480" s="1" t="s">
        <v>73</v>
      </c>
      <c r="H480">
        <v>1</v>
      </c>
      <c r="I480" s="4">
        <v>2347.71</v>
      </c>
      <c r="J480" s="4">
        <v>2347.71</v>
      </c>
      <c r="K480" s="6">
        <v>10</v>
      </c>
      <c r="L480" s="4">
        <v>2112.94</v>
      </c>
      <c r="M480" s="4">
        <v>1111.56</v>
      </c>
      <c r="N480" s="4">
        <v>1001.38</v>
      </c>
      <c r="O480" s="6">
        <v>47.39</v>
      </c>
      <c r="P480" s="1" t="s">
        <v>44</v>
      </c>
      <c r="Q480" s="1" t="s">
        <v>32</v>
      </c>
      <c r="R480" s="1" t="s">
        <v>26</v>
      </c>
    </row>
    <row r="481" spans="1:18" x14ac:dyDescent="0.25">
      <c r="A481" s="1" t="s">
        <v>192</v>
      </c>
      <c r="B481" s="2">
        <v>45653</v>
      </c>
      <c r="C481" s="1" t="s">
        <v>34</v>
      </c>
      <c r="D481" s="1" t="s">
        <v>133</v>
      </c>
      <c r="E481" s="1" t="s">
        <v>120</v>
      </c>
      <c r="F481" s="1" t="s">
        <v>22</v>
      </c>
      <c r="G481" s="1" t="s">
        <v>40</v>
      </c>
      <c r="H481">
        <v>2</v>
      </c>
      <c r="I481" s="4">
        <v>1169.92</v>
      </c>
      <c r="J481" s="4">
        <v>2339.84</v>
      </c>
      <c r="K481" s="6">
        <v>20</v>
      </c>
      <c r="L481" s="4">
        <v>1871.87</v>
      </c>
      <c r="M481" s="4">
        <v>1197.6099999999999</v>
      </c>
      <c r="N481" s="4">
        <v>674.26</v>
      </c>
      <c r="O481" s="6">
        <v>36.020000000000003</v>
      </c>
      <c r="P481" s="1" t="s">
        <v>49</v>
      </c>
      <c r="Q481" s="1" t="s">
        <v>38</v>
      </c>
      <c r="R481" s="1" t="s">
        <v>26</v>
      </c>
    </row>
    <row r="482" spans="1:18" x14ac:dyDescent="0.25">
      <c r="A482" s="1" t="s">
        <v>116</v>
      </c>
      <c r="B482" s="2">
        <v>45579</v>
      </c>
      <c r="C482" s="1" t="s">
        <v>19</v>
      </c>
      <c r="D482" s="1" t="s">
        <v>20</v>
      </c>
      <c r="E482" s="1" t="s">
        <v>72</v>
      </c>
      <c r="F482" s="1" t="s">
        <v>22</v>
      </c>
      <c r="G482" s="1" t="s">
        <v>117</v>
      </c>
      <c r="H482">
        <v>18</v>
      </c>
      <c r="I482" s="4">
        <v>129.38</v>
      </c>
      <c r="J482" s="4">
        <v>2328.84</v>
      </c>
      <c r="K482" s="6">
        <v>10</v>
      </c>
      <c r="L482" s="4">
        <v>2095.96</v>
      </c>
      <c r="M482" s="4">
        <v>1323.25</v>
      </c>
      <c r="N482" s="4">
        <v>772.71</v>
      </c>
      <c r="O482" s="6">
        <v>36.869999999999997</v>
      </c>
      <c r="P482" s="1" t="s">
        <v>44</v>
      </c>
      <c r="Q482" s="1" t="s">
        <v>106</v>
      </c>
      <c r="R482" s="1" t="s">
        <v>26</v>
      </c>
    </row>
    <row r="483" spans="1:18" x14ac:dyDescent="0.25">
      <c r="A483" s="1" t="s">
        <v>381</v>
      </c>
      <c r="B483" s="2">
        <v>45045</v>
      </c>
      <c r="C483" s="1" t="s">
        <v>19</v>
      </c>
      <c r="D483" s="1" t="s">
        <v>166</v>
      </c>
      <c r="E483" s="1" t="s">
        <v>65</v>
      </c>
      <c r="F483" s="1" t="s">
        <v>22</v>
      </c>
      <c r="G483" s="1" t="s">
        <v>117</v>
      </c>
      <c r="H483">
        <v>16</v>
      </c>
      <c r="I483" s="4">
        <v>144.85</v>
      </c>
      <c r="J483" s="4">
        <v>2317.6</v>
      </c>
      <c r="K483" s="6">
        <v>0</v>
      </c>
      <c r="L483" s="4">
        <v>2317.6</v>
      </c>
      <c r="M483" s="4">
        <v>1569.92</v>
      </c>
      <c r="N483" s="4">
        <v>747.68</v>
      </c>
      <c r="O483" s="6">
        <v>32.26</v>
      </c>
      <c r="P483" s="1" t="s">
        <v>62</v>
      </c>
      <c r="Q483" s="1" t="s">
        <v>25</v>
      </c>
      <c r="R483" s="1" t="s">
        <v>26</v>
      </c>
    </row>
    <row r="484" spans="1:18" x14ac:dyDescent="0.25">
      <c r="A484" s="1" t="s">
        <v>436</v>
      </c>
      <c r="B484" s="2">
        <v>45210</v>
      </c>
      <c r="C484" s="1" t="s">
        <v>34</v>
      </c>
      <c r="D484" s="1" t="s">
        <v>172</v>
      </c>
      <c r="E484" s="1" t="s">
        <v>85</v>
      </c>
      <c r="F484" s="1" t="s">
        <v>22</v>
      </c>
      <c r="G484" s="1" t="s">
        <v>94</v>
      </c>
      <c r="H484">
        <v>5</v>
      </c>
      <c r="I484" s="4">
        <v>456.64</v>
      </c>
      <c r="J484" s="4">
        <v>2283.1999999999998</v>
      </c>
      <c r="K484" s="6">
        <v>10</v>
      </c>
      <c r="L484" s="4">
        <v>2054.88</v>
      </c>
      <c r="M484" s="4">
        <v>1216.8599999999999</v>
      </c>
      <c r="N484" s="4">
        <v>838.02</v>
      </c>
      <c r="O484" s="6">
        <v>40.78</v>
      </c>
      <c r="P484" s="1" t="s">
        <v>44</v>
      </c>
      <c r="Q484" s="1" t="s">
        <v>63</v>
      </c>
      <c r="R484" s="1" t="s">
        <v>26</v>
      </c>
    </row>
    <row r="485" spans="1:18" x14ac:dyDescent="0.25">
      <c r="A485" s="1" t="s">
        <v>484</v>
      </c>
      <c r="B485" s="2">
        <v>45372</v>
      </c>
      <c r="C485" s="1" t="s">
        <v>51</v>
      </c>
      <c r="D485" s="1" t="s">
        <v>98</v>
      </c>
      <c r="E485" s="1" t="s">
        <v>72</v>
      </c>
      <c r="F485" s="1" t="s">
        <v>22</v>
      </c>
      <c r="G485" s="1" t="s">
        <v>117</v>
      </c>
      <c r="H485">
        <v>7</v>
      </c>
      <c r="I485" s="4">
        <v>310.25</v>
      </c>
      <c r="J485" s="4">
        <v>2171.75</v>
      </c>
      <c r="K485" s="6">
        <v>25</v>
      </c>
      <c r="L485" s="4">
        <v>1628.81</v>
      </c>
      <c r="M485" s="4">
        <v>1080.8599999999999</v>
      </c>
      <c r="N485" s="4">
        <v>547.95000000000005</v>
      </c>
      <c r="O485" s="6">
        <v>33.64</v>
      </c>
      <c r="P485" s="1" t="s">
        <v>24</v>
      </c>
      <c r="Q485" s="1" t="s">
        <v>63</v>
      </c>
      <c r="R485" s="1" t="s">
        <v>26</v>
      </c>
    </row>
    <row r="486" spans="1:18" x14ac:dyDescent="0.25">
      <c r="A486" s="1" t="s">
        <v>433</v>
      </c>
      <c r="B486" s="2">
        <v>45062</v>
      </c>
      <c r="C486" s="1" t="s">
        <v>51</v>
      </c>
      <c r="D486" s="1" t="s">
        <v>84</v>
      </c>
      <c r="E486" s="1" t="s">
        <v>28</v>
      </c>
      <c r="F486" s="1" t="s">
        <v>22</v>
      </c>
      <c r="G486" s="1" t="s">
        <v>117</v>
      </c>
      <c r="H486">
        <v>2</v>
      </c>
      <c r="I486" s="4">
        <v>1048.3900000000001</v>
      </c>
      <c r="J486" s="4">
        <v>2096.7800000000002</v>
      </c>
      <c r="K486" s="6">
        <v>25</v>
      </c>
      <c r="L486" s="4">
        <v>1572.59</v>
      </c>
      <c r="M486" s="4">
        <v>633.23</v>
      </c>
      <c r="N486" s="4">
        <v>939.36</v>
      </c>
      <c r="O486" s="6">
        <v>59.73</v>
      </c>
      <c r="P486" s="1" t="s">
        <v>49</v>
      </c>
      <c r="Q486" s="1" t="s">
        <v>25</v>
      </c>
      <c r="R486" s="1" t="s">
        <v>26</v>
      </c>
    </row>
    <row r="487" spans="1:18" x14ac:dyDescent="0.25">
      <c r="A487" s="1" t="s">
        <v>555</v>
      </c>
      <c r="B487" s="2">
        <v>45482</v>
      </c>
      <c r="C487" s="1" t="s">
        <v>58</v>
      </c>
      <c r="D487" s="1" t="s">
        <v>59</v>
      </c>
      <c r="E487" s="1" t="s">
        <v>139</v>
      </c>
      <c r="F487" s="1" t="s">
        <v>22</v>
      </c>
      <c r="G487" s="1" t="s">
        <v>124</v>
      </c>
      <c r="H487">
        <v>3</v>
      </c>
      <c r="I487" s="4">
        <v>623.54</v>
      </c>
      <c r="J487" s="4">
        <v>1870.62</v>
      </c>
      <c r="K487" s="6">
        <v>15</v>
      </c>
      <c r="L487" s="4">
        <v>1590.03</v>
      </c>
      <c r="M487" s="4">
        <v>902.67</v>
      </c>
      <c r="N487" s="4">
        <v>687.36</v>
      </c>
      <c r="O487" s="6">
        <v>43.23</v>
      </c>
      <c r="P487" s="1" t="s">
        <v>62</v>
      </c>
      <c r="Q487" s="1" t="s">
        <v>106</v>
      </c>
      <c r="R487" s="1" t="s">
        <v>26</v>
      </c>
    </row>
    <row r="488" spans="1:18" x14ac:dyDescent="0.25">
      <c r="A488" s="1" t="s">
        <v>398</v>
      </c>
      <c r="B488" s="2">
        <v>45588</v>
      </c>
      <c r="C488" s="1" t="s">
        <v>34</v>
      </c>
      <c r="D488" s="1" t="s">
        <v>35</v>
      </c>
      <c r="E488" s="1" t="s">
        <v>53</v>
      </c>
      <c r="F488" s="1" t="s">
        <v>81</v>
      </c>
      <c r="G488" s="1" t="s">
        <v>186</v>
      </c>
      <c r="H488">
        <v>5</v>
      </c>
      <c r="I488" s="4">
        <v>370.04</v>
      </c>
      <c r="J488" s="4">
        <v>1850.2</v>
      </c>
      <c r="K488" s="6">
        <v>0</v>
      </c>
      <c r="L488" s="4">
        <v>1850.2</v>
      </c>
      <c r="M488" s="4">
        <v>849.84</v>
      </c>
      <c r="N488" s="4">
        <v>1000.36</v>
      </c>
      <c r="O488" s="6">
        <v>54.07</v>
      </c>
      <c r="P488" s="1" t="s">
        <v>62</v>
      </c>
      <c r="Q488" s="1" t="s">
        <v>106</v>
      </c>
      <c r="R488" s="1" t="s">
        <v>26</v>
      </c>
    </row>
    <row r="489" spans="1:18" x14ac:dyDescent="0.25">
      <c r="A489" s="1" t="s">
        <v>435</v>
      </c>
      <c r="B489" s="2">
        <v>45310</v>
      </c>
      <c r="C489" s="1" t="s">
        <v>34</v>
      </c>
      <c r="D489" s="1" t="s">
        <v>71</v>
      </c>
      <c r="E489" s="1" t="s">
        <v>104</v>
      </c>
      <c r="F489" s="1" t="s">
        <v>81</v>
      </c>
      <c r="G489" s="1" t="s">
        <v>178</v>
      </c>
      <c r="H489">
        <v>7</v>
      </c>
      <c r="I489" s="4">
        <v>257.31</v>
      </c>
      <c r="J489" s="4">
        <v>1801.17</v>
      </c>
      <c r="K489" s="6">
        <v>25</v>
      </c>
      <c r="L489" s="4">
        <v>1350.88</v>
      </c>
      <c r="M489" s="4">
        <v>932.03</v>
      </c>
      <c r="N489" s="4">
        <v>418.85</v>
      </c>
      <c r="O489" s="6">
        <v>31.01</v>
      </c>
      <c r="P489" s="1" t="s">
        <v>31</v>
      </c>
      <c r="Q489" s="1" t="s">
        <v>63</v>
      </c>
      <c r="R489" s="1" t="s">
        <v>26</v>
      </c>
    </row>
    <row r="490" spans="1:18" x14ac:dyDescent="0.25">
      <c r="A490" s="1" t="s">
        <v>446</v>
      </c>
      <c r="B490" s="2">
        <v>45098</v>
      </c>
      <c r="C490" s="1" t="s">
        <v>51</v>
      </c>
      <c r="D490" s="1" t="s">
        <v>98</v>
      </c>
      <c r="E490" s="1" t="s">
        <v>139</v>
      </c>
      <c r="F490" s="1" t="s">
        <v>22</v>
      </c>
      <c r="G490" s="1" t="s">
        <v>170</v>
      </c>
      <c r="H490">
        <v>9</v>
      </c>
      <c r="I490" s="4">
        <v>195.03</v>
      </c>
      <c r="J490" s="4">
        <v>1755.27</v>
      </c>
      <c r="K490" s="6">
        <v>20</v>
      </c>
      <c r="L490" s="4">
        <v>1404.22</v>
      </c>
      <c r="M490" s="4">
        <v>809.67</v>
      </c>
      <c r="N490" s="4">
        <v>594.54999999999995</v>
      </c>
      <c r="O490" s="6">
        <v>42.34</v>
      </c>
      <c r="P490" s="1" t="s">
        <v>24</v>
      </c>
      <c r="Q490" s="1" t="s">
        <v>56</v>
      </c>
      <c r="R490" s="1" t="s">
        <v>26</v>
      </c>
    </row>
    <row r="491" spans="1:18" x14ac:dyDescent="0.25">
      <c r="A491" s="1" t="s">
        <v>537</v>
      </c>
      <c r="B491" s="2">
        <v>45644</v>
      </c>
      <c r="C491" s="1" t="s">
        <v>58</v>
      </c>
      <c r="D491" s="1" t="s">
        <v>150</v>
      </c>
      <c r="E491" s="1" t="s">
        <v>72</v>
      </c>
      <c r="F491" s="1" t="s">
        <v>29</v>
      </c>
      <c r="G491" s="1" t="s">
        <v>68</v>
      </c>
      <c r="H491">
        <v>2</v>
      </c>
      <c r="I491" s="4">
        <v>781.42</v>
      </c>
      <c r="J491" s="4">
        <v>1562.84</v>
      </c>
      <c r="K491" s="6">
        <v>5</v>
      </c>
      <c r="L491" s="4">
        <v>1484.7</v>
      </c>
      <c r="M491" s="4">
        <v>888.75</v>
      </c>
      <c r="N491" s="4">
        <v>595.95000000000005</v>
      </c>
      <c r="O491" s="6">
        <v>40.14</v>
      </c>
      <c r="P491" s="1" t="s">
        <v>24</v>
      </c>
      <c r="Q491" s="1" t="s">
        <v>106</v>
      </c>
      <c r="R491" s="1" t="s">
        <v>26</v>
      </c>
    </row>
    <row r="492" spans="1:18" x14ac:dyDescent="0.25">
      <c r="A492" s="1" t="s">
        <v>212</v>
      </c>
      <c r="B492" s="2">
        <v>45551</v>
      </c>
      <c r="C492" s="1" t="s">
        <v>34</v>
      </c>
      <c r="D492" s="1" t="s">
        <v>35</v>
      </c>
      <c r="E492" s="1" t="s">
        <v>85</v>
      </c>
      <c r="F492" s="1" t="s">
        <v>22</v>
      </c>
      <c r="G492" s="1" t="s">
        <v>43</v>
      </c>
      <c r="H492">
        <v>2</v>
      </c>
      <c r="I492" s="4">
        <v>773.89</v>
      </c>
      <c r="J492" s="4">
        <v>1547.78</v>
      </c>
      <c r="K492" s="6">
        <v>20</v>
      </c>
      <c r="L492" s="4">
        <v>1238.22</v>
      </c>
      <c r="M492" s="4">
        <v>617.13</v>
      </c>
      <c r="N492" s="4">
        <v>621.09</v>
      </c>
      <c r="O492" s="6">
        <v>50.16</v>
      </c>
      <c r="P492" s="1" t="s">
        <v>49</v>
      </c>
      <c r="Q492" s="1" t="s">
        <v>63</v>
      </c>
      <c r="R492" s="1" t="s">
        <v>26</v>
      </c>
    </row>
    <row r="493" spans="1:18" x14ac:dyDescent="0.25">
      <c r="A493" s="1" t="s">
        <v>260</v>
      </c>
      <c r="B493" s="2">
        <v>45106</v>
      </c>
      <c r="C493" s="1" t="s">
        <v>19</v>
      </c>
      <c r="D493" s="1" t="s">
        <v>75</v>
      </c>
      <c r="E493" s="1" t="s">
        <v>80</v>
      </c>
      <c r="F493" s="1" t="s">
        <v>22</v>
      </c>
      <c r="G493" s="1" t="s">
        <v>170</v>
      </c>
      <c r="H493">
        <v>3</v>
      </c>
      <c r="I493" s="4">
        <v>474.57</v>
      </c>
      <c r="J493" s="4">
        <v>1423.71</v>
      </c>
      <c r="K493" s="6">
        <v>10</v>
      </c>
      <c r="L493" s="4">
        <v>1281.3399999999999</v>
      </c>
      <c r="M493" s="4">
        <v>825.25</v>
      </c>
      <c r="N493" s="4">
        <v>456.09</v>
      </c>
      <c r="O493" s="6">
        <v>35.590000000000003</v>
      </c>
      <c r="P493" s="1" t="s">
        <v>62</v>
      </c>
      <c r="Q493" s="1" t="s">
        <v>63</v>
      </c>
      <c r="R493" s="1" t="s">
        <v>26</v>
      </c>
    </row>
    <row r="494" spans="1:18" x14ac:dyDescent="0.25">
      <c r="A494" s="1" t="s">
        <v>197</v>
      </c>
      <c r="B494" s="2">
        <v>45029</v>
      </c>
      <c r="C494" s="1" t="s">
        <v>58</v>
      </c>
      <c r="D494" s="1" t="s">
        <v>150</v>
      </c>
      <c r="E494" s="1" t="s">
        <v>85</v>
      </c>
      <c r="F494" s="1" t="s">
        <v>54</v>
      </c>
      <c r="G494" s="1" t="s">
        <v>102</v>
      </c>
      <c r="H494">
        <v>3</v>
      </c>
      <c r="I494" s="4">
        <v>446.68</v>
      </c>
      <c r="J494" s="4">
        <v>1340.04</v>
      </c>
      <c r="K494" s="6">
        <v>20</v>
      </c>
      <c r="L494" s="4">
        <v>1072.03</v>
      </c>
      <c r="M494" s="4">
        <v>535.58000000000004</v>
      </c>
      <c r="N494" s="4">
        <v>536.45000000000005</v>
      </c>
      <c r="O494" s="6">
        <v>50.04</v>
      </c>
      <c r="P494" s="1" t="s">
        <v>62</v>
      </c>
      <c r="Q494" s="1" t="s">
        <v>56</v>
      </c>
      <c r="R494" s="1" t="s">
        <v>26</v>
      </c>
    </row>
    <row r="495" spans="1:18" x14ac:dyDescent="0.25">
      <c r="A495" s="1" t="s">
        <v>213</v>
      </c>
      <c r="B495" s="2">
        <v>45431</v>
      </c>
      <c r="C495" s="1" t="s">
        <v>58</v>
      </c>
      <c r="D495" s="1" t="s">
        <v>59</v>
      </c>
      <c r="E495" s="1" t="s">
        <v>120</v>
      </c>
      <c r="F495" s="1" t="s">
        <v>22</v>
      </c>
      <c r="G495" s="1" t="s">
        <v>117</v>
      </c>
      <c r="H495">
        <v>9</v>
      </c>
      <c r="I495" s="4">
        <v>130.79</v>
      </c>
      <c r="J495" s="4">
        <v>1177.1099999999999</v>
      </c>
      <c r="K495" s="6">
        <v>0</v>
      </c>
      <c r="L495" s="4">
        <v>1177.1099999999999</v>
      </c>
      <c r="M495" s="4">
        <v>578.33000000000004</v>
      </c>
      <c r="N495" s="4">
        <v>598.78</v>
      </c>
      <c r="O495" s="6">
        <v>50.87</v>
      </c>
      <c r="P495" s="1" t="s">
        <v>24</v>
      </c>
      <c r="Q495" s="1" t="s">
        <v>56</v>
      </c>
      <c r="R495" s="1" t="s">
        <v>26</v>
      </c>
    </row>
    <row r="496" spans="1:18" x14ac:dyDescent="0.25">
      <c r="A496" s="1" t="s">
        <v>371</v>
      </c>
      <c r="B496" s="2">
        <v>45534</v>
      </c>
      <c r="C496" s="1" t="s">
        <v>34</v>
      </c>
      <c r="D496" s="1" t="s">
        <v>46</v>
      </c>
      <c r="E496" s="1" t="s">
        <v>65</v>
      </c>
      <c r="F496" s="1" t="s">
        <v>54</v>
      </c>
      <c r="G496" s="1" t="s">
        <v>136</v>
      </c>
      <c r="H496">
        <v>7</v>
      </c>
      <c r="I496" s="4">
        <v>152.55000000000001</v>
      </c>
      <c r="J496" s="4">
        <v>1067.8499999999999</v>
      </c>
      <c r="K496" s="6">
        <v>15</v>
      </c>
      <c r="L496" s="4">
        <v>907.67</v>
      </c>
      <c r="M496" s="4">
        <v>384.29</v>
      </c>
      <c r="N496" s="4">
        <v>523.38</v>
      </c>
      <c r="O496" s="6">
        <v>57.66</v>
      </c>
      <c r="P496" s="1" t="s">
        <v>49</v>
      </c>
      <c r="Q496" s="1" t="s">
        <v>25</v>
      </c>
      <c r="R496" s="1" t="s">
        <v>26</v>
      </c>
    </row>
    <row r="497" spans="1:18" x14ac:dyDescent="0.25">
      <c r="A497" s="1" t="s">
        <v>485</v>
      </c>
      <c r="B497" s="2">
        <v>45498</v>
      </c>
      <c r="C497" s="1" t="s">
        <v>19</v>
      </c>
      <c r="D497" s="1" t="s">
        <v>155</v>
      </c>
      <c r="E497" s="1" t="s">
        <v>76</v>
      </c>
      <c r="F497" s="1" t="s">
        <v>22</v>
      </c>
      <c r="G497" s="1" t="s">
        <v>170</v>
      </c>
      <c r="H497">
        <v>6</v>
      </c>
      <c r="I497" s="4">
        <v>162.04</v>
      </c>
      <c r="J497" s="4">
        <v>972.24</v>
      </c>
      <c r="K497" s="6">
        <v>5</v>
      </c>
      <c r="L497" s="4">
        <v>923.63</v>
      </c>
      <c r="M497" s="4">
        <v>589.52</v>
      </c>
      <c r="N497" s="4">
        <v>334.11</v>
      </c>
      <c r="O497" s="6">
        <v>36.17</v>
      </c>
      <c r="P497" s="1" t="s">
        <v>24</v>
      </c>
      <c r="Q497" s="1" t="s">
        <v>25</v>
      </c>
      <c r="R497" s="1" t="s">
        <v>26</v>
      </c>
    </row>
    <row r="498" spans="1:18" x14ac:dyDescent="0.25">
      <c r="A498" s="1" t="s">
        <v>489</v>
      </c>
      <c r="B498" s="2">
        <v>45487</v>
      </c>
      <c r="C498" s="1" t="s">
        <v>34</v>
      </c>
      <c r="D498" s="1" t="s">
        <v>35</v>
      </c>
      <c r="E498" s="1" t="s">
        <v>120</v>
      </c>
      <c r="F498" s="1" t="s">
        <v>81</v>
      </c>
      <c r="G498" s="1" t="s">
        <v>82</v>
      </c>
      <c r="H498">
        <v>3</v>
      </c>
      <c r="I498" s="4">
        <v>239.23</v>
      </c>
      <c r="J498" s="4">
        <v>717.69</v>
      </c>
      <c r="K498" s="6">
        <v>20</v>
      </c>
      <c r="L498" s="4">
        <v>574.15</v>
      </c>
      <c r="M498" s="4">
        <v>297.54000000000002</v>
      </c>
      <c r="N498" s="4">
        <v>276.61</v>
      </c>
      <c r="O498" s="6">
        <v>48.18</v>
      </c>
      <c r="P498" s="1" t="s">
        <v>24</v>
      </c>
      <c r="Q498" s="1" t="s">
        <v>38</v>
      </c>
      <c r="R498" s="1" t="s">
        <v>26</v>
      </c>
    </row>
    <row r="499" spans="1:18" x14ac:dyDescent="0.25">
      <c r="A499" s="1" t="s">
        <v>468</v>
      </c>
      <c r="B499" s="2">
        <v>45370</v>
      </c>
      <c r="C499" s="1" t="s">
        <v>58</v>
      </c>
      <c r="D499" s="1" t="s">
        <v>150</v>
      </c>
      <c r="E499" s="1" t="s">
        <v>85</v>
      </c>
      <c r="F499" s="1" t="s">
        <v>22</v>
      </c>
      <c r="G499" s="1" t="s">
        <v>124</v>
      </c>
      <c r="H499">
        <v>1</v>
      </c>
      <c r="I499" s="4">
        <v>674.01</v>
      </c>
      <c r="J499" s="4">
        <v>674.01</v>
      </c>
      <c r="K499" s="6">
        <v>0</v>
      </c>
      <c r="L499" s="4">
        <v>674.01</v>
      </c>
      <c r="M499" s="4">
        <v>381.47</v>
      </c>
      <c r="N499" s="4">
        <v>292.54000000000002</v>
      </c>
      <c r="O499" s="6">
        <v>43.4</v>
      </c>
      <c r="P499" s="1" t="s">
        <v>31</v>
      </c>
      <c r="Q499" s="1" t="s">
        <v>32</v>
      </c>
      <c r="R499" s="1" t="s">
        <v>26</v>
      </c>
    </row>
    <row r="500" spans="1:18" x14ac:dyDescent="0.25">
      <c r="A500" s="1" t="s">
        <v>604</v>
      </c>
      <c r="B500" s="2">
        <v>45315</v>
      </c>
      <c r="C500" s="1" t="s">
        <v>51</v>
      </c>
      <c r="D500" s="1" t="s">
        <v>52</v>
      </c>
      <c r="E500" s="1" t="s">
        <v>53</v>
      </c>
      <c r="F500" s="1" t="s">
        <v>22</v>
      </c>
      <c r="G500" s="1" t="s">
        <v>170</v>
      </c>
      <c r="H500">
        <v>3</v>
      </c>
      <c r="I500" s="4">
        <v>184.3</v>
      </c>
      <c r="J500" s="4">
        <v>552.9</v>
      </c>
      <c r="K500" s="6">
        <v>10</v>
      </c>
      <c r="L500" s="4">
        <v>497.61</v>
      </c>
      <c r="M500" s="4">
        <v>247.24</v>
      </c>
      <c r="N500" s="4">
        <v>250.37</v>
      </c>
      <c r="O500" s="6">
        <v>50.31</v>
      </c>
      <c r="P500" s="1" t="s">
        <v>24</v>
      </c>
      <c r="Q500" s="1" t="s">
        <v>32</v>
      </c>
      <c r="R500" s="1" t="s">
        <v>26</v>
      </c>
    </row>
    <row r="501" spans="1:18" x14ac:dyDescent="0.25">
      <c r="A501" s="1" t="s">
        <v>531</v>
      </c>
      <c r="B501" s="2">
        <v>45572</v>
      </c>
      <c r="C501" s="1" t="s">
        <v>51</v>
      </c>
      <c r="D501" s="1" t="s">
        <v>98</v>
      </c>
      <c r="E501" s="1" t="s">
        <v>85</v>
      </c>
      <c r="F501" s="1" t="s">
        <v>22</v>
      </c>
      <c r="G501" s="1" t="s">
        <v>124</v>
      </c>
      <c r="H501">
        <v>1</v>
      </c>
      <c r="I501" s="4">
        <v>277.8</v>
      </c>
      <c r="J501" s="4">
        <v>277.8</v>
      </c>
      <c r="K501" s="6">
        <v>15</v>
      </c>
      <c r="L501" s="4">
        <v>236.13</v>
      </c>
      <c r="M501" s="4">
        <v>103.98</v>
      </c>
      <c r="N501" s="4">
        <v>132.15</v>
      </c>
      <c r="O501" s="6">
        <v>55.96</v>
      </c>
      <c r="P501" s="1" t="s">
        <v>31</v>
      </c>
      <c r="Q501" s="1" t="s">
        <v>25</v>
      </c>
      <c r="R501" s="1" t="s">
        <v>26</v>
      </c>
    </row>
  </sheetData>
  <conditionalFormatting sqref="N1:N1048576">
    <cfRule type="dataBar" priority="1">
      <dataBar>
        <cfvo type="min"/>
        <cfvo type="max"/>
        <color rgb="FF63C384"/>
      </dataBar>
      <extLst>
        <ext xmlns:x14="http://schemas.microsoft.com/office/spreadsheetml/2009/9/main" uri="{B025F937-C7B1-47D3-B67F-A62EFF666E3E}">
          <x14:id>{25DEBDAE-4675-4F23-AB16-72E5996D3559}</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5DEBDAE-4675-4F23-AB16-72E5996D3559}">
            <x14:dataBar minLength="0" maxLength="100" border="1" negativeBarBorderColorSameAsPositive="0">
              <x14:cfvo type="autoMin"/>
              <x14:cfvo type="autoMax"/>
              <x14:borderColor rgb="FF63C384"/>
              <x14:negativeFillColor rgb="FFFF0000"/>
              <x14:negativeBorderColor rgb="FFFF0000"/>
              <x14:axisColor rgb="FF000000"/>
            </x14:dataBar>
          </x14:cfRule>
          <xm:sqref>N1:N1048576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997F-B1C2-47E0-B6ED-59EDCB536B05}">
  <dimension ref="A3:B5"/>
  <sheetViews>
    <sheetView workbookViewId="0">
      <selection activeCell="H7" sqref="H7"/>
    </sheetView>
  </sheetViews>
  <sheetFormatPr defaultRowHeight="15" x14ac:dyDescent="0.25"/>
  <cols>
    <col min="1" max="1" width="13.140625" bestFit="1" customWidth="1"/>
    <col min="2" max="2" width="15.5703125" bestFit="1" customWidth="1"/>
    <col min="3" max="3" width="26.42578125" bestFit="1" customWidth="1"/>
    <col min="4" max="6" width="7.5703125" bestFit="1" customWidth="1"/>
    <col min="80" max="322" width="10.140625" bestFit="1" customWidth="1"/>
    <col min="323" max="478" width="11.7109375" bestFit="1" customWidth="1"/>
    <col min="479" max="501" width="12.7109375" bestFit="1" customWidth="1"/>
    <col min="502" max="502" width="11.28515625" bestFit="1" customWidth="1"/>
  </cols>
  <sheetData>
    <row r="3" spans="1:2" x14ac:dyDescent="0.25">
      <c r="A3" s="8" t="s">
        <v>624</v>
      </c>
      <c r="B3" t="s">
        <v>626</v>
      </c>
    </row>
    <row r="4" spans="1:2" x14ac:dyDescent="0.25">
      <c r="A4" s="9" t="s">
        <v>19</v>
      </c>
      <c r="B4" s="10">
        <v>2484119.66</v>
      </c>
    </row>
    <row r="5" spans="1:2" x14ac:dyDescent="0.25">
      <c r="A5" s="9" t="s">
        <v>625</v>
      </c>
      <c r="B5" s="11">
        <v>2484119.66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CC93-B8DF-4C0E-A331-5EB156849A34}">
  <dimension ref="A3:B8"/>
  <sheetViews>
    <sheetView workbookViewId="0">
      <selection activeCell="A4" sqref="A4"/>
    </sheetView>
  </sheetViews>
  <sheetFormatPr defaultRowHeight="15" x14ac:dyDescent="0.25"/>
  <cols>
    <col min="1" max="1" width="13.140625" bestFit="1" customWidth="1"/>
    <col min="2" max="2" width="15.5703125" bestFit="1" customWidth="1"/>
  </cols>
  <sheetData>
    <row r="3" spans="1:2" x14ac:dyDescent="0.25">
      <c r="A3" s="8" t="s">
        <v>624</v>
      </c>
      <c r="B3" t="s">
        <v>626</v>
      </c>
    </row>
    <row r="4" spans="1:2" x14ac:dyDescent="0.25">
      <c r="A4" s="9" t="s">
        <v>628</v>
      </c>
      <c r="B4" s="4">
        <v>2484119.66</v>
      </c>
    </row>
    <row r="5" spans="1:2" x14ac:dyDescent="0.25">
      <c r="A5" s="14" t="s">
        <v>629</v>
      </c>
      <c r="B5" s="4">
        <v>1474151.88</v>
      </c>
    </row>
    <row r="6" spans="1:2" x14ac:dyDescent="0.25">
      <c r="A6" s="14" t="s">
        <v>630</v>
      </c>
      <c r="B6" s="4">
        <v>861602.41</v>
      </c>
    </row>
    <row r="7" spans="1:2" x14ac:dyDescent="0.25">
      <c r="A7" s="14" t="s">
        <v>631</v>
      </c>
      <c r="B7" s="4">
        <v>148365.37</v>
      </c>
    </row>
    <row r="8" spans="1:2" x14ac:dyDescent="0.25">
      <c r="A8" s="9" t="s">
        <v>625</v>
      </c>
      <c r="B8" s="4">
        <v>2484119.66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7968-28C7-42AE-9366-176CFFDF0D53}">
  <dimension ref="A3:C14"/>
  <sheetViews>
    <sheetView workbookViewId="0">
      <selection activeCell="E11" sqref="E11"/>
    </sheetView>
  </sheetViews>
  <sheetFormatPr defaultRowHeight="15" x14ac:dyDescent="0.25"/>
  <cols>
    <col min="1" max="1" width="14.140625" bestFit="1" customWidth="1"/>
    <col min="2" max="2" width="20" bestFit="1" customWidth="1"/>
    <col min="3" max="3" width="12.5703125" bestFit="1" customWidth="1"/>
  </cols>
  <sheetData>
    <row r="3" spans="1:3" x14ac:dyDescent="0.25">
      <c r="A3" s="8" t="s">
        <v>624</v>
      </c>
      <c r="B3" t="s">
        <v>632</v>
      </c>
      <c r="C3" t="s">
        <v>633</v>
      </c>
    </row>
    <row r="4" spans="1:3" x14ac:dyDescent="0.25">
      <c r="A4" s="9" t="s">
        <v>72</v>
      </c>
      <c r="B4" s="4">
        <v>1056393.21</v>
      </c>
      <c r="C4" s="4">
        <v>457903</v>
      </c>
    </row>
    <row r="5" spans="1:3" x14ac:dyDescent="0.25">
      <c r="A5" s="9" t="s">
        <v>65</v>
      </c>
      <c r="B5" s="4">
        <v>651584.35</v>
      </c>
      <c r="C5" s="4">
        <v>268287.23</v>
      </c>
    </row>
    <row r="6" spans="1:3" x14ac:dyDescent="0.25">
      <c r="A6" s="9" t="s">
        <v>129</v>
      </c>
      <c r="B6" s="4">
        <v>277926.53000000003</v>
      </c>
      <c r="C6" s="4">
        <v>115247.11</v>
      </c>
    </row>
    <row r="7" spans="1:3" x14ac:dyDescent="0.25">
      <c r="A7" s="9" t="s">
        <v>80</v>
      </c>
      <c r="B7" s="4">
        <v>64747.85</v>
      </c>
      <c r="C7" s="4">
        <v>34847.799999999996</v>
      </c>
    </row>
    <row r="8" spans="1:3" x14ac:dyDescent="0.25">
      <c r="A8" s="9" t="s">
        <v>21</v>
      </c>
      <c r="B8" s="4">
        <v>40242.06</v>
      </c>
      <c r="C8" s="4">
        <v>21515.96</v>
      </c>
    </row>
    <row r="9" spans="1:3" x14ac:dyDescent="0.25">
      <c r="A9" s="9" t="s">
        <v>120</v>
      </c>
      <c r="B9" s="4">
        <v>25920.959999999999</v>
      </c>
      <c r="C9" s="4">
        <v>14538.74</v>
      </c>
    </row>
    <row r="10" spans="1:3" x14ac:dyDescent="0.25">
      <c r="A10" s="9" t="s">
        <v>42</v>
      </c>
      <c r="B10" s="4">
        <v>21721.919999999998</v>
      </c>
      <c r="C10" s="4">
        <v>12342.76</v>
      </c>
    </row>
    <row r="11" spans="1:3" x14ac:dyDescent="0.25">
      <c r="A11" s="9" t="s">
        <v>139</v>
      </c>
      <c r="B11" s="4">
        <v>34531.19</v>
      </c>
      <c r="C11" s="4">
        <v>11520.32</v>
      </c>
    </row>
    <row r="12" spans="1:3" x14ac:dyDescent="0.25">
      <c r="A12" s="27" t="s">
        <v>85</v>
      </c>
      <c r="B12" s="26">
        <v>26113.03</v>
      </c>
      <c r="C12" s="26">
        <v>10125.32</v>
      </c>
    </row>
    <row r="13" spans="1:3" x14ac:dyDescent="0.25">
      <c r="A13" s="9" t="s">
        <v>36</v>
      </c>
      <c r="B13" s="4">
        <v>20036.62</v>
      </c>
      <c r="C13" s="4">
        <v>10006.549999999999</v>
      </c>
    </row>
    <row r="14" spans="1:3" x14ac:dyDescent="0.25">
      <c r="A14" s="9" t="s">
        <v>625</v>
      </c>
      <c r="B14" s="4">
        <v>2219217.7199999997</v>
      </c>
      <c r="C14" s="4">
        <v>956334.78999999992</v>
      </c>
    </row>
  </sheetData>
  <conditionalFormatting pivot="1" sqref="C4:C13">
    <cfRule type="top10" dxfId="253"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745FC-70F5-4D98-A286-5C02369A84BA}">
  <dimension ref="A3:F26"/>
  <sheetViews>
    <sheetView topLeftCell="B22" workbookViewId="0">
      <selection activeCell="F26" sqref="F26"/>
    </sheetView>
  </sheetViews>
  <sheetFormatPr defaultRowHeight="15" x14ac:dyDescent="0.25"/>
  <cols>
    <col min="1" max="1" width="13.140625" bestFit="1" customWidth="1"/>
    <col min="2" max="2" width="15.5703125" bestFit="1" customWidth="1"/>
    <col min="3" max="3" width="12.5703125" bestFit="1" customWidth="1"/>
    <col min="4" max="4" width="17.42578125" bestFit="1" customWidth="1"/>
    <col min="5" max="5" width="15.85546875" bestFit="1" customWidth="1"/>
    <col min="6" max="6" width="15.5703125" bestFit="1" customWidth="1"/>
  </cols>
  <sheetData>
    <row r="3" spans="1:4" x14ac:dyDescent="0.25">
      <c r="A3" s="8" t="s">
        <v>624</v>
      </c>
      <c r="B3" t="s">
        <v>626</v>
      </c>
      <c r="C3" t="s">
        <v>633</v>
      </c>
      <c r="D3" t="s">
        <v>634</v>
      </c>
    </row>
    <row r="4" spans="1:4" x14ac:dyDescent="0.25">
      <c r="A4" s="9" t="s">
        <v>49</v>
      </c>
      <c r="B4" s="5">
        <v>0.35592127635268578</v>
      </c>
      <c r="C4" s="5">
        <v>0.34962152741510111</v>
      </c>
      <c r="D4" s="1">
        <v>125</v>
      </c>
    </row>
    <row r="5" spans="1:4" x14ac:dyDescent="0.25">
      <c r="A5" s="9" t="s">
        <v>31</v>
      </c>
      <c r="B5" s="15">
        <v>0.44202315519696012</v>
      </c>
      <c r="C5" s="15">
        <v>0.44489081067520297</v>
      </c>
      <c r="D5" s="16">
        <v>35</v>
      </c>
    </row>
    <row r="6" spans="1:4" x14ac:dyDescent="0.25">
      <c r="A6" s="9" t="s">
        <v>62</v>
      </c>
      <c r="B6" s="5">
        <v>4.4515001342568181E-2</v>
      </c>
      <c r="C6" s="5">
        <v>4.943822027012109E-2</v>
      </c>
      <c r="D6" s="1">
        <v>95</v>
      </c>
    </row>
    <row r="7" spans="1:4" x14ac:dyDescent="0.25">
      <c r="A7" s="9" t="s">
        <v>24</v>
      </c>
      <c r="B7" s="5">
        <v>0.14725313997152614</v>
      </c>
      <c r="C7" s="5">
        <v>0.14314312459551953</v>
      </c>
      <c r="D7" s="1">
        <v>90</v>
      </c>
    </row>
    <row r="8" spans="1:4" x14ac:dyDescent="0.25">
      <c r="A8" s="9" t="s">
        <v>44</v>
      </c>
      <c r="B8" s="5">
        <v>1.0287427136259611E-2</v>
      </c>
      <c r="C8" s="5">
        <v>1.2906317044055251E-2</v>
      </c>
      <c r="D8" s="1">
        <v>22</v>
      </c>
    </row>
    <row r="9" spans="1:4" x14ac:dyDescent="0.25">
      <c r="A9" s="9" t="s">
        <v>625</v>
      </c>
      <c r="B9" s="5">
        <v>1</v>
      </c>
      <c r="C9" s="5">
        <v>1</v>
      </c>
      <c r="D9" s="1">
        <v>367</v>
      </c>
    </row>
    <row r="15" spans="1:4" x14ac:dyDescent="0.25">
      <c r="D15" s="17"/>
    </row>
    <row r="19" spans="5:6" x14ac:dyDescent="0.25">
      <c r="E19" s="8" t="s">
        <v>624</v>
      </c>
      <c r="F19" t="s">
        <v>626</v>
      </c>
    </row>
    <row r="20" spans="5:6" x14ac:dyDescent="0.25">
      <c r="E20" s="9" t="s">
        <v>25</v>
      </c>
      <c r="F20" s="3">
        <v>145505.5</v>
      </c>
    </row>
    <row r="21" spans="5:6" x14ac:dyDescent="0.25">
      <c r="E21" s="9" t="s">
        <v>56</v>
      </c>
      <c r="F21" s="3">
        <v>1118113.78</v>
      </c>
    </row>
    <row r="22" spans="5:6" x14ac:dyDescent="0.25">
      <c r="E22" s="9" t="s">
        <v>106</v>
      </c>
      <c r="F22" s="3">
        <v>1075646.3399999999</v>
      </c>
    </row>
    <row r="23" spans="5:6" x14ac:dyDescent="0.25">
      <c r="E23" s="9" t="s">
        <v>63</v>
      </c>
      <c r="F23" s="3">
        <v>76160.290000000008</v>
      </c>
    </row>
    <row r="24" spans="5:6" x14ac:dyDescent="0.25">
      <c r="E24" s="9" t="s">
        <v>32</v>
      </c>
      <c r="F24" s="3">
        <v>54913.04</v>
      </c>
    </row>
    <row r="25" spans="5:6" x14ac:dyDescent="0.25">
      <c r="E25" s="9" t="s">
        <v>38</v>
      </c>
      <c r="F25" s="3">
        <v>13780.71</v>
      </c>
    </row>
    <row r="26" spans="5:6" x14ac:dyDescent="0.25">
      <c r="E26" s="9" t="s">
        <v>625</v>
      </c>
      <c r="F26" s="39">
        <v>2484119.66</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6AAC-E49B-427E-BDA4-1552B08AF198}">
  <dimension ref="B6:C13"/>
  <sheetViews>
    <sheetView workbookViewId="0">
      <selection activeCell="F11" sqref="F11"/>
    </sheetView>
  </sheetViews>
  <sheetFormatPr defaultRowHeight="15" x14ac:dyDescent="0.25"/>
  <cols>
    <col min="2" max="2" width="18" bestFit="1" customWidth="1"/>
    <col min="3" max="3" width="26.42578125" bestFit="1" customWidth="1"/>
  </cols>
  <sheetData>
    <row r="6" spans="2:3" x14ac:dyDescent="0.25">
      <c r="B6" s="8" t="s">
        <v>624</v>
      </c>
      <c r="C6" t="s">
        <v>627</v>
      </c>
    </row>
    <row r="7" spans="2:3" x14ac:dyDescent="0.25">
      <c r="B7" s="9" t="s">
        <v>54</v>
      </c>
      <c r="C7" s="13">
        <v>54.699999999999996</v>
      </c>
    </row>
    <row r="8" spans="2:3" x14ac:dyDescent="0.25">
      <c r="B8" s="9" t="s">
        <v>29</v>
      </c>
      <c r="C8" s="12">
        <v>49.376666666666665</v>
      </c>
    </row>
    <row r="9" spans="2:3" x14ac:dyDescent="0.25">
      <c r="B9" s="9" t="s">
        <v>47</v>
      </c>
      <c r="C9" s="12">
        <v>48.84</v>
      </c>
    </row>
    <row r="10" spans="2:3" x14ac:dyDescent="0.25">
      <c r="B10" s="9" t="s">
        <v>22</v>
      </c>
      <c r="C10" s="12">
        <v>42.718000000000004</v>
      </c>
    </row>
    <row r="11" spans="2:3" x14ac:dyDescent="0.25">
      <c r="B11" s="9" t="s">
        <v>81</v>
      </c>
      <c r="C11" s="12">
        <v>38.65</v>
      </c>
    </row>
    <row r="12" spans="2:3" x14ac:dyDescent="0.25">
      <c r="B12" s="9" t="s">
        <v>60</v>
      </c>
      <c r="C12" s="12">
        <v>38.19</v>
      </c>
    </row>
    <row r="13" spans="2:3" x14ac:dyDescent="0.25">
      <c r="B13" s="9" t="s">
        <v>625</v>
      </c>
      <c r="C13" s="12">
        <v>46.158124999999998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9C85-81CC-4AE3-B210-2D8064CDBF08}">
  <dimension ref="A1:X19"/>
  <sheetViews>
    <sheetView topLeftCell="B16" zoomScale="82" zoomScaleNormal="82" workbookViewId="0">
      <selection activeCell="W11" sqref="W11"/>
    </sheetView>
  </sheetViews>
  <sheetFormatPr defaultRowHeight="15" x14ac:dyDescent="0.25"/>
  <cols>
    <col min="6" max="6" width="9.140625" customWidth="1"/>
    <col min="9" max="9" width="9.140625" customWidth="1"/>
    <col min="23" max="23" width="13" customWidth="1"/>
    <col min="24" max="24" width="12.28515625" customWidth="1"/>
  </cols>
  <sheetData>
    <row r="1" spans="1:24" ht="13.5" customHeight="1" x14ac:dyDescent="0.25">
      <c r="A1" s="33" t="s">
        <v>635</v>
      </c>
      <c r="B1" s="34"/>
      <c r="C1" s="34"/>
      <c r="D1" s="34"/>
      <c r="E1" s="34"/>
      <c r="F1" s="34"/>
      <c r="G1" s="34"/>
      <c r="H1" s="34"/>
      <c r="I1" s="34"/>
      <c r="J1" s="34"/>
      <c r="K1" s="34"/>
      <c r="L1" s="34"/>
      <c r="M1" s="34"/>
      <c r="N1" s="34"/>
      <c r="O1" s="34"/>
      <c r="P1" s="34"/>
      <c r="Q1" s="34"/>
      <c r="R1" s="34"/>
      <c r="S1" s="29"/>
      <c r="T1" s="30"/>
      <c r="U1" s="30"/>
    </row>
    <row r="2" spans="1:24" ht="30" customHeight="1" x14ac:dyDescent="0.25">
      <c r="A2" s="34"/>
      <c r="B2" s="34"/>
      <c r="C2" s="34"/>
      <c r="D2" s="34"/>
      <c r="E2" s="34"/>
      <c r="F2" s="34"/>
      <c r="G2" s="34"/>
      <c r="H2" s="34"/>
      <c r="I2" s="34"/>
      <c r="J2" s="34"/>
      <c r="K2" s="34"/>
      <c r="L2" s="34"/>
      <c r="M2" s="34"/>
      <c r="N2" s="34"/>
      <c r="O2" s="34"/>
      <c r="P2" s="34"/>
      <c r="Q2" s="34"/>
      <c r="R2" s="34"/>
      <c r="S2" s="30"/>
      <c r="T2" s="30"/>
      <c r="U2" s="30"/>
      <c r="W2" t="s">
        <v>645</v>
      </c>
    </row>
    <row r="3" spans="1:24" ht="22.5" customHeight="1" x14ac:dyDescent="0.25">
      <c r="A3" s="34"/>
      <c r="B3" s="34"/>
      <c r="C3" s="34"/>
      <c r="D3" s="34"/>
      <c r="E3" s="34"/>
      <c r="F3" s="34"/>
      <c r="G3" s="34"/>
      <c r="H3" s="34"/>
      <c r="I3" s="34"/>
      <c r="J3" s="34"/>
      <c r="K3" s="34"/>
      <c r="L3" s="34"/>
      <c r="M3" s="34"/>
      <c r="N3" s="34"/>
      <c r="O3" s="34"/>
      <c r="P3" s="34"/>
      <c r="Q3" s="34"/>
      <c r="R3" s="34"/>
      <c r="S3" s="30"/>
      <c r="T3" s="30"/>
      <c r="U3" s="30"/>
      <c r="W3" s="38" t="s">
        <v>28</v>
      </c>
      <c r="X3">
        <f>_xlfn.XLOOKUP(W3,Sales_Data[Salesperson],Sales_Data[Net_Revenue],"Not found",0)</f>
        <v>2249030.7599999998</v>
      </c>
    </row>
    <row r="4" spans="1:24" ht="24" customHeight="1" x14ac:dyDescent="0.25">
      <c r="A4" s="34"/>
      <c r="B4" s="34"/>
      <c r="C4" s="34"/>
      <c r="D4" s="34"/>
      <c r="E4" s="34"/>
      <c r="F4" s="34"/>
      <c r="G4" s="34"/>
      <c r="H4" s="34"/>
      <c r="I4" s="34"/>
      <c r="J4" s="34"/>
      <c r="K4" s="34"/>
      <c r="L4" s="34"/>
      <c r="M4" s="34"/>
      <c r="N4" s="34"/>
      <c r="O4" s="34"/>
      <c r="P4" s="34"/>
      <c r="Q4" s="34"/>
      <c r="R4" s="34"/>
      <c r="S4" s="30"/>
      <c r="T4" s="30"/>
      <c r="U4" s="30"/>
      <c r="W4" s="38" t="s">
        <v>85</v>
      </c>
      <c r="X4">
        <f>_xlfn.XLOOKUP(W4,Sales_Data[Salesperson],Sales_Data[Net_Revenue],"Not found",0)</f>
        <v>1974822.74</v>
      </c>
    </row>
    <row r="5" spans="1:24" ht="15" customHeight="1" x14ac:dyDescent="0.25">
      <c r="A5" s="36" t="s">
        <v>636</v>
      </c>
      <c r="B5" s="36"/>
      <c r="C5" s="36"/>
      <c r="D5" s="37" t="s">
        <v>637</v>
      </c>
      <c r="E5" s="37"/>
      <c r="F5" s="37"/>
      <c r="G5" s="36" t="s">
        <v>639</v>
      </c>
      <c r="H5" s="36"/>
      <c r="I5" s="36"/>
      <c r="J5" s="37" t="s">
        <v>640</v>
      </c>
      <c r="K5" s="37"/>
      <c r="L5" s="37"/>
      <c r="M5" s="36" t="s">
        <v>641</v>
      </c>
      <c r="N5" s="36"/>
      <c r="O5" s="36"/>
      <c r="P5" s="37" t="s">
        <v>642</v>
      </c>
      <c r="Q5" s="37"/>
      <c r="R5" s="37"/>
      <c r="S5" s="36" t="s">
        <v>643</v>
      </c>
      <c r="T5" s="36"/>
      <c r="U5" s="36"/>
    </row>
    <row r="6" spans="1:24" ht="15" customHeight="1" x14ac:dyDescent="0.25">
      <c r="A6" s="36"/>
      <c r="B6" s="36"/>
      <c r="C6" s="36"/>
      <c r="D6" s="37"/>
      <c r="E6" s="37"/>
      <c r="F6" s="37"/>
      <c r="G6" s="36"/>
      <c r="H6" s="36"/>
      <c r="I6" s="36"/>
      <c r="J6" s="37"/>
      <c r="K6" s="37"/>
      <c r="L6" s="37"/>
      <c r="M6" s="36"/>
      <c r="N6" s="36"/>
      <c r="O6" s="36"/>
      <c r="P6" s="37"/>
      <c r="Q6" s="37"/>
      <c r="R6" s="37"/>
      <c r="S6" s="36"/>
      <c r="T6" s="36"/>
      <c r="U6" s="36"/>
    </row>
    <row r="7" spans="1:24" x14ac:dyDescent="0.25">
      <c r="A7" s="28">
        <f>GETPIVOTDATA("Revenue",'Region revenue'!$A$3)</f>
        <v>2484119.66</v>
      </c>
      <c r="B7" s="28"/>
      <c r="C7" s="28"/>
      <c r="D7" s="28">
        <f>GETPIVOTDATA("Sum of Profit",'sum of profit'!$A$3)</f>
        <v>956334.78999999992</v>
      </c>
      <c r="E7" s="28"/>
      <c r="F7" s="28"/>
      <c r="G7" s="35">
        <f>SUM(Sales_Data[Net_Revenue])</f>
        <v>85086287.290000036</v>
      </c>
      <c r="H7" s="35"/>
      <c r="I7" s="35"/>
      <c r="J7" s="32">
        <f>COUNTA(Sales_Data[Order_ID])</f>
        <v>500</v>
      </c>
      <c r="K7" s="32"/>
      <c r="L7" s="32"/>
      <c r="M7" s="31">
        <f>GETPIVOTDATA("Profit_Margin_%",'Average profit margin'!$B$6)</f>
        <v>46.158124999999998</v>
      </c>
      <c r="N7" s="31"/>
      <c r="O7" s="31"/>
      <c r="P7" s="32">
        <f>COUNTIF(Sales_Data[Return_Flag],"YES")</f>
        <v>15</v>
      </c>
      <c r="Q7" s="32"/>
      <c r="R7" s="32"/>
      <c r="S7" s="31" t="s">
        <v>60</v>
      </c>
      <c r="T7" s="31"/>
      <c r="U7" s="31"/>
    </row>
    <row r="8" spans="1:24" ht="14.25" customHeight="1" x14ac:dyDescent="0.25">
      <c r="A8" s="28"/>
      <c r="B8" s="28"/>
      <c r="C8" s="28"/>
      <c r="D8" s="28"/>
      <c r="E8" s="28"/>
      <c r="F8" s="28"/>
      <c r="G8" s="35"/>
      <c r="H8" s="35"/>
      <c r="I8" s="35"/>
      <c r="J8" s="32"/>
      <c r="K8" s="32"/>
      <c r="L8" s="32"/>
      <c r="M8" s="31"/>
      <c r="N8" s="31"/>
      <c r="O8" s="31"/>
      <c r="P8" s="32"/>
      <c r="Q8" s="32"/>
      <c r="R8" s="32"/>
      <c r="S8" s="31"/>
      <c r="T8" s="31"/>
      <c r="U8" s="31"/>
    </row>
    <row r="9" spans="1:24" ht="18" customHeight="1" x14ac:dyDescent="0.25">
      <c r="A9" s="28"/>
      <c r="B9" s="28"/>
      <c r="C9" s="28"/>
      <c r="D9" s="28"/>
      <c r="E9" s="28"/>
      <c r="F9" s="28"/>
      <c r="G9" s="35"/>
      <c r="H9" s="35"/>
      <c r="I9" s="35"/>
      <c r="J9" s="32"/>
      <c r="K9" s="32"/>
      <c r="L9" s="32"/>
      <c r="M9" s="31"/>
      <c r="N9" s="31"/>
      <c r="O9" s="31"/>
      <c r="P9" s="32"/>
      <c r="Q9" s="32"/>
      <c r="R9" s="32"/>
      <c r="S9" s="31"/>
      <c r="T9" s="31"/>
      <c r="U9" s="31"/>
    </row>
    <row r="10" spans="1:24" ht="15" customHeight="1" x14ac:dyDescent="0.25">
      <c r="A10" s="28"/>
      <c r="B10" s="28"/>
      <c r="C10" s="28"/>
      <c r="D10" s="28"/>
      <c r="E10" s="28"/>
      <c r="F10" s="28"/>
      <c r="G10" s="35"/>
      <c r="H10" s="35"/>
      <c r="I10" s="35"/>
      <c r="J10" s="32"/>
      <c r="K10" s="32"/>
      <c r="L10" s="32"/>
      <c r="M10" s="31"/>
      <c r="N10" s="31"/>
      <c r="O10" s="31"/>
      <c r="P10" s="32"/>
      <c r="Q10" s="32"/>
      <c r="R10" s="32"/>
      <c r="S10" s="31"/>
      <c r="T10" s="31"/>
      <c r="U10" s="31"/>
    </row>
    <row r="11" spans="1:24" ht="15" customHeight="1" x14ac:dyDescent="0.25"/>
    <row r="12" spans="1:24" ht="15" customHeight="1" x14ac:dyDescent="0.25">
      <c r="E12" t="s">
        <v>638</v>
      </c>
      <c r="U12" t="s">
        <v>644</v>
      </c>
    </row>
    <row r="13" spans="1:24" ht="15" customHeight="1" x14ac:dyDescent="0.25"/>
    <row r="14" spans="1:24" x14ac:dyDescent="0.25">
      <c r="X14" t="s">
        <v>638</v>
      </c>
    </row>
    <row r="15" spans="1:24" ht="21.75" customHeight="1" x14ac:dyDescent="0.25"/>
    <row r="16" spans="1:24" ht="23.25" customHeight="1" x14ac:dyDescent="0.25"/>
    <row r="17" ht="20.25" customHeight="1" x14ac:dyDescent="0.25"/>
    <row r="18" ht="23.25" customHeight="1" x14ac:dyDescent="0.25"/>
    <row r="19" ht="21.75" customHeight="1" x14ac:dyDescent="0.25"/>
  </sheetData>
  <mergeCells count="16">
    <mergeCell ref="S1:U4"/>
    <mergeCell ref="S5:U6"/>
    <mergeCell ref="S7:U10"/>
    <mergeCell ref="P7:R10"/>
    <mergeCell ref="D5:F6"/>
    <mergeCell ref="G5:I6"/>
    <mergeCell ref="J5:L6"/>
    <mergeCell ref="M5:O6"/>
    <mergeCell ref="P5:R6"/>
    <mergeCell ref="A1:R4"/>
    <mergeCell ref="A5:C6"/>
    <mergeCell ref="A7:C10"/>
    <mergeCell ref="D7:F10"/>
    <mergeCell ref="G7:I10"/>
    <mergeCell ref="J7:L10"/>
    <mergeCell ref="M7:O10"/>
  </mergeCells>
  <phoneticPr fontId="7"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20B573-DDF7-4ABE-81A6-91EA9D3F47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Region revenue</vt:lpstr>
      <vt:lpstr>Yearly sum of revenue</vt:lpstr>
      <vt:lpstr>sum of profit</vt:lpstr>
      <vt:lpstr>sum of revenue</vt:lpstr>
      <vt:lpstr>Average profit margin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2026-05-22T11:38:21Z</dcterms:created>
  <dcterms:modified xsi:type="dcterms:W3CDTF">2026-05-22T19:05:40Z</dcterms:modified>
</cp:coreProperties>
</file>