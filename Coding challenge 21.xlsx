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client backup\Desktop\Downloads\my\"/>
    </mc:Choice>
  </mc:AlternateContent>
  <xr:revisionPtr revIDLastSave="0" documentId="8_{33C99C72-878B-4D3B-9AF1-09AD4EBFED2A}" xr6:coauthVersionLast="47" xr6:coauthVersionMax="47" xr10:uidLastSave="{00000000-0000-0000-0000-000000000000}"/>
  <bookViews>
    <workbookView xWindow="-120" yWindow="-120" windowWidth="20730" windowHeight="11040" activeTab="1" xr2:uid="{9B10DDCC-BF9A-460C-BC32-7A4AC1210D22}"/>
  </bookViews>
  <sheets>
    <sheet name="Pivot table" sheetId="3" r:id="rId1"/>
    <sheet name="Dashboard" sheetId="7" r:id="rId2"/>
    <sheet name="Descriptive analysis" sheetId="8" r:id="rId3"/>
    <sheet name="Sheet1 (2)" sheetId="2" r:id="rId4"/>
  </sheets>
  <definedNames>
    <definedName name="_xlcn.WorksheetConnection_Book1Sheet11" hidden="1">Sheet1[]</definedName>
    <definedName name="ExternalData_1" localSheetId="3" hidden="1">'Sheet1 (2)'!$A$1:$J$100</definedName>
    <definedName name="Slicer_Department">#N/A</definedName>
    <definedName name="Slicer_Department1">#N/A</definedName>
    <definedName name="Slicer_Department2">#N/A</definedName>
    <definedName name="Slicer_Department3">#N/A</definedName>
  </definedNames>
  <calcPr calcId="191029"/>
  <pivotCaches>
    <pivotCache cacheId="78" r:id="rId5"/>
    <pivotCache cacheId="81" r:id="rId6"/>
    <pivotCache cacheId="8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1d8be07a-9fec-4f2f-bc72-a0d3549b7304" name="Sheet1" connection="Query - Sheet1"/>
          <x15:modelTable id="Sheet1 1" name="Sheet1 1" connection="WorksheetConnection_Book1!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4" i="2" l="1"/>
  <c r="K27" i="2"/>
  <c r="L27" i="2" s="1"/>
  <c r="K38" i="2"/>
  <c r="L38" i="2" s="1"/>
  <c r="K76" i="2"/>
  <c r="L76" i="2" s="1"/>
  <c r="K34" i="2"/>
  <c r="K64" i="2"/>
  <c r="L64" i="2" s="1"/>
  <c r="K7" i="2"/>
  <c r="L7" i="2" s="1"/>
  <c r="K93" i="2"/>
  <c r="L93" i="2" s="1"/>
  <c r="K82" i="2"/>
  <c r="K35" i="2"/>
  <c r="L35" i="2" s="1"/>
  <c r="K95" i="2"/>
  <c r="L95" i="2" s="1"/>
  <c r="K49" i="2"/>
  <c r="L49" i="2" s="1"/>
  <c r="K33" i="2"/>
  <c r="K84" i="2"/>
  <c r="L84" i="2" s="1"/>
  <c r="K80" i="2"/>
  <c r="L80" i="2" s="1"/>
  <c r="K14" i="2"/>
  <c r="L14" i="2" s="1"/>
  <c r="K60" i="2"/>
  <c r="K61" i="2"/>
  <c r="L61" i="2" s="1"/>
  <c r="K45" i="2"/>
  <c r="L45" i="2" s="1"/>
  <c r="K98" i="2"/>
  <c r="L98" i="2" s="1"/>
  <c r="K19" i="2"/>
  <c r="K13" i="2"/>
  <c r="L13" i="2" s="1"/>
  <c r="K72" i="2"/>
  <c r="L72" i="2" s="1"/>
  <c r="K29" i="2"/>
  <c r="L29" i="2" s="1"/>
  <c r="K58" i="2"/>
  <c r="K18" i="2"/>
  <c r="L18" i="2" s="1"/>
  <c r="K24" i="2"/>
  <c r="L24" i="2" s="1"/>
  <c r="K97" i="2"/>
  <c r="L97" i="2" s="1"/>
  <c r="K73" i="2"/>
  <c r="K83" i="2"/>
  <c r="L83" i="2" s="1"/>
  <c r="K89" i="2"/>
  <c r="L89" i="2" s="1"/>
  <c r="K88" i="2"/>
  <c r="L88" i="2" s="1"/>
  <c r="K66" i="2"/>
  <c r="K78" i="2"/>
  <c r="L78" i="2" s="1"/>
  <c r="K48" i="2"/>
  <c r="L48" i="2" s="1"/>
  <c r="K32" i="2"/>
  <c r="L32" i="2" s="1"/>
  <c r="K25" i="2"/>
  <c r="K51" i="2"/>
  <c r="L51" i="2" s="1"/>
  <c r="K8" i="2"/>
  <c r="L8" i="2" s="1"/>
  <c r="K36" i="2"/>
  <c r="L36" i="2" s="1"/>
  <c r="K12" i="2"/>
  <c r="K62" i="2"/>
  <c r="L62" i="2" s="1"/>
  <c r="K86" i="2"/>
  <c r="L86" i="2" s="1"/>
  <c r="K40" i="2"/>
  <c r="L40" i="2" s="1"/>
  <c r="K4" i="2"/>
  <c r="K21" i="2"/>
  <c r="L21" i="2" s="1"/>
  <c r="K2" i="2"/>
  <c r="L2" i="2" s="1"/>
  <c r="K71" i="2"/>
  <c r="L71" i="2" s="1"/>
  <c r="K70" i="2"/>
  <c r="K30" i="2"/>
  <c r="L30" i="2" s="1"/>
  <c r="K85" i="2"/>
  <c r="L85" i="2" s="1"/>
  <c r="K55" i="2"/>
  <c r="L55" i="2" s="1"/>
  <c r="K99" i="2"/>
  <c r="K9" i="2"/>
  <c r="L9" i="2" s="1"/>
  <c r="K65" i="2"/>
  <c r="L65" i="2" s="1"/>
  <c r="K10" i="2"/>
  <c r="L10" i="2" s="1"/>
  <c r="K92" i="2"/>
  <c r="K41" i="2"/>
  <c r="L41" i="2" s="1"/>
  <c r="K52" i="2"/>
  <c r="L52" i="2" s="1"/>
  <c r="K75" i="2"/>
  <c r="L75" i="2" s="1"/>
  <c r="K77" i="2"/>
  <c r="K42" i="2"/>
  <c r="L42" i="2" s="1"/>
  <c r="K63" i="2"/>
  <c r="L63" i="2" s="1"/>
  <c r="K43" i="2"/>
  <c r="L43" i="2" s="1"/>
  <c r="K90" i="2"/>
  <c r="K16" i="2"/>
  <c r="L16" i="2" s="1"/>
  <c r="K96" i="2"/>
  <c r="L96" i="2" s="1"/>
  <c r="K15" i="2"/>
  <c r="L15" i="2" s="1"/>
  <c r="K11" i="2"/>
  <c r="K47" i="2"/>
  <c r="L47" i="2" s="1"/>
  <c r="K67" i="2"/>
  <c r="L67" i="2" s="1"/>
  <c r="K6" i="2"/>
  <c r="L6" i="2" s="1"/>
  <c r="K91" i="2"/>
  <c r="K57" i="2"/>
  <c r="L57" i="2" s="1"/>
  <c r="K69" i="2"/>
  <c r="L69" i="2" s="1"/>
  <c r="K53" i="2"/>
  <c r="L53" i="2" s="1"/>
  <c r="K59" i="2"/>
  <c r="K46" i="2"/>
  <c r="L46" i="2" s="1"/>
  <c r="K20" i="2"/>
  <c r="L20" i="2" s="1"/>
  <c r="K26" i="2"/>
  <c r="L26" i="2" s="1"/>
  <c r="K39" i="2"/>
  <c r="K68" i="2"/>
  <c r="L68" i="2" s="1"/>
  <c r="K5" i="2"/>
  <c r="L5" i="2" s="1"/>
  <c r="K22" i="2"/>
  <c r="L22" i="2" s="1"/>
  <c r="K50" i="2"/>
  <c r="K87" i="2"/>
  <c r="L87" i="2" s="1"/>
  <c r="K56" i="2"/>
  <c r="L56" i="2" s="1"/>
  <c r="K23" i="2"/>
  <c r="L23" i="2" s="1"/>
  <c r="K28" i="2"/>
  <c r="K31" i="2"/>
  <c r="L31" i="2" s="1"/>
  <c r="K94" i="2"/>
  <c r="L94" i="2" s="1"/>
  <c r="K54" i="2"/>
  <c r="L54" i="2" s="1"/>
  <c r="K3" i="2"/>
  <c r="K17" i="2"/>
  <c r="L17" i="2" s="1"/>
  <c r="K74" i="2"/>
  <c r="L74" i="2" s="1"/>
  <c r="K81" i="2"/>
  <c r="L81" i="2" s="1"/>
  <c r="K79" i="2"/>
  <c r="K37" i="2"/>
  <c r="L37" i="2" s="1"/>
  <c r="K100" i="2"/>
  <c r="L100" i="2" s="1"/>
  <c r="L44" i="2"/>
  <c r="L34" i="2"/>
  <c r="L82" i="2"/>
  <c r="L33" i="2"/>
  <c r="L60" i="2"/>
  <c r="L19" i="2"/>
  <c r="L58" i="2"/>
  <c r="L73" i="2"/>
  <c r="L66" i="2"/>
  <c r="L25" i="2"/>
  <c r="L12" i="2"/>
  <c r="L4" i="2"/>
  <c r="L70" i="2"/>
  <c r="L99" i="2"/>
  <c r="L92" i="2"/>
  <c r="L77" i="2"/>
  <c r="L90" i="2"/>
  <c r="L11" i="2"/>
  <c r="L91" i="2"/>
  <c r="L59" i="2"/>
  <c r="L39" i="2"/>
  <c r="L50" i="2"/>
  <c r="L28" i="2"/>
  <c r="L3" i="2"/>
  <c r="L79" i="2"/>
  <c r="M44" i="2"/>
  <c r="M27" i="2"/>
  <c r="M38" i="2"/>
  <c r="M76" i="2"/>
  <c r="M34" i="2"/>
  <c r="M64" i="2"/>
  <c r="M7" i="2"/>
  <c r="M93" i="2"/>
  <c r="M82" i="2"/>
  <c r="M35" i="2"/>
  <c r="M95" i="2"/>
  <c r="M49" i="2"/>
  <c r="M33" i="2"/>
  <c r="M84" i="2"/>
  <c r="M80" i="2"/>
  <c r="M14" i="2"/>
  <c r="M60" i="2"/>
  <c r="M61" i="2"/>
  <c r="M45" i="2"/>
  <c r="M98" i="2"/>
  <c r="M19" i="2"/>
  <c r="M13" i="2"/>
  <c r="M72" i="2"/>
  <c r="M29" i="2"/>
  <c r="M58" i="2"/>
  <c r="M18" i="2"/>
  <c r="M24" i="2"/>
  <c r="M97" i="2"/>
  <c r="M73" i="2"/>
  <c r="M83" i="2"/>
  <c r="M89" i="2"/>
  <c r="M88" i="2"/>
  <c r="M66" i="2"/>
  <c r="M78" i="2"/>
  <c r="M48" i="2"/>
  <c r="M32" i="2"/>
  <c r="M25" i="2"/>
  <c r="M51" i="2"/>
  <c r="M8" i="2"/>
  <c r="M36" i="2"/>
  <c r="M12" i="2"/>
  <c r="M62" i="2"/>
  <c r="M86" i="2"/>
  <c r="M40" i="2"/>
  <c r="M4" i="2"/>
  <c r="M21" i="2"/>
  <c r="M2" i="2"/>
  <c r="M71" i="2"/>
  <c r="M70" i="2"/>
  <c r="M30" i="2"/>
  <c r="M85" i="2"/>
  <c r="M55" i="2"/>
  <c r="M99" i="2"/>
  <c r="M9" i="2"/>
  <c r="M65" i="2"/>
  <c r="M10" i="2"/>
  <c r="M92" i="2"/>
  <c r="M41" i="2"/>
  <c r="M52" i="2"/>
  <c r="M75" i="2"/>
  <c r="M77" i="2"/>
  <c r="M42" i="2"/>
  <c r="M63" i="2"/>
  <c r="M43" i="2"/>
  <c r="M90" i="2"/>
  <c r="M16" i="2"/>
  <c r="M96" i="2"/>
  <c r="M15" i="2"/>
  <c r="M11" i="2"/>
  <c r="M47" i="2"/>
  <c r="M67" i="2"/>
  <c r="M6" i="2"/>
  <c r="M91" i="2"/>
  <c r="M57" i="2"/>
  <c r="M69" i="2"/>
  <c r="M53" i="2"/>
  <c r="M59" i="2"/>
  <c r="M46" i="2"/>
  <c r="M20" i="2"/>
  <c r="M26" i="2"/>
  <c r="M39" i="2"/>
  <c r="M68" i="2"/>
  <c r="M5" i="2"/>
  <c r="M22" i="2"/>
  <c r="M50" i="2"/>
  <c r="M87" i="2"/>
  <c r="M56" i="2"/>
  <c r="M23" i="2"/>
  <c r="M28" i="2"/>
  <c r="M31" i="2"/>
  <c r="M94" i="2"/>
  <c r="M54" i="2"/>
  <c r="M3" i="2"/>
  <c r="M17" i="2"/>
  <c r="M74" i="2"/>
  <c r="M81" i="2"/>
  <c r="M79" i="2"/>
  <c r="M37" i="2"/>
  <c r="M100" i="2"/>
  <c r="N44" i="2"/>
  <c r="N27" i="2"/>
  <c r="N38" i="2"/>
  <c r="N76" i="2"/>
  <c r="N34" i="2"/>
  <c r="N64" i="2"/>
  <c r="N7" i="2"/>
  <c r="N93" i="2"/>
  <c r="N82" i="2"/>
  <c r="N35" i="2"/>
  <c r="N95" i="2"/>
  <c r="N49" i="2"/>
  <c r="N33" i="2"/>
  <c r="N84" i="2"/>
  <c r="N80" i="2"/>
  <c r="N14" i="2"/>
  <c r="N60" i="2"/>
  <c r="N61" i="2"/>
  <c r="N45" i="2"/>
  <c r="N98" i="2"/>
  <c r="N19" i="2"/>
  <c r="N13" i="2"/>
  <c r="N72" i="2"/>
  <c r="N29" i="2"/>
  <c r="N58" i="2"/>
  <c r="N18" i="2"/>
  <c r="N24" i="2"/>
  <c r="N97" i="2"/>
  <c r="N73" i="2"/>
  <c r="N83" i="2"/>
  <c r="N89" i="2"/>
  <c r="N88" i="2"/>
  <c r="N66" i="2"/>
  <c r="N78" i="2"/>
  <c r="N48" i="2"/>
  <c r="N32" i="2"/>
  <c r="N25" i="2"/>
  <c r="N51" i="2"/>
  <c r="N8" i="2"/>
  <c r="N36" i="2"/>
  <c r="N12" i="2"/>
  <c r="N62" i="2"/>
  <c r="N86" i="2"/>
  <c r="N40" i="2"/>
  <c r="N4" i="2"/>
  <c r="N21" i="2"/>
  <c r="N2" i="2"/>
  <c r="N71" i="2"/>
  <c r="N70" i="2"/>
  <c r="N30" i="2"/>
  <c r="N85" i="2"/>
  <c r="N55" i="2"/>
  <c r="N99" i="2"/>
  <c r="N9" i="2"/>
  <c r="N65" i="2"/>
  <c r="N10" i="2"/>
  <c r="N92" i="2"/>
  <c r="N41" i="2"/>
  <c r="N52" i="2"/>
  <c r="N75" i="2"/>
  <c r="N77" i="2"/>
  <c r="N42" i="2"/>
  <c r="N63" i="2"/>
  <c r="N43" i="2"/>
  <c r="N90" i="2"/>
  <c r="N16" i="2"/>
  <c r="N96" i="2"/>
  <c r="N15" i="2"/>
  <c r="N11" i="2"/>
  <c r="N47" i="2"/>
  <c r="N67" i="2"/>
  <c r="N6" i="2"/>
  <c r="N91" i="2"/>
  <c r="N57" i="2"/>
  <c r="N69" i="2"/>
  <c r="N53" i="2"/>
  <c r="N59" i="2"/>
  <c r="N46" i="2"/>
  <c r="N20" i="2"/>
  <c r="N26" i="2"/>
  <c r="N39" i="2"/>
  <c r="N68" i="2"/>
  <c r="N5" i="2"/>
  <c r="N22" i="2"/>
  <c r="N50" i="2"/>
  <c r="N87" i="2"/>
  <c r="N56" i="2"/>
  <c r="N23" i="2"/>
  <c r="N28" i="2"/>
  <c r="N31" i="2"/>
  <c r="N94" i="2"/>
  <c r="N54" i="2"/>
  <c r="N3" i="2"/>
  <c r="N17" i="2"/>
  <c r="N74" i="2"/>
  <c r="N81" i="2"/>
  <c r="N79" i="2"/>
  <c r="N37" i="2"/>
  <c r="N100" i="2"/>
  <c r="O44" i="2"/>
  <c r="O27" i="2"/>
  <c r="O38" i="2"/>
  <c r="O76" i="2"/>
  <c r="O34" i="2"/>
  <c r="O64" i="2"/>
  <c r="O7" i="2"/>
  <c r="O93" i="2"/>
  <c r="O82" i="2"/>
  <c r="O35" i="2"/>
  <c r="O95" i="2"/>
  <c r="O49" i="2"/>
  <c r="O33" i="2"/>
  <c r="O84" i="2"/>
  <c r="O80" i="2"/>
  <c r="O14" i="2"/>
  <c r="O60" i="2"/>
  <c r="O61" i="2"/>
  <c r="O45" i="2"/>
  <c r="O98" i="2"/>
  <c r="O19" i="2"/>
  <c r="O13" i="2"/>
  <c r="O72" i="2"/>
  <c r="O29" i="2"/>
  <c r="O58" i="2"/>
  <c r="O18" i="2"/>
  <c r="O24" i="2"/>
  <c r="O97" i="2"/>
  <c r="O73" i="2"/>
  <c r="O83" i="2"/>
  <c r="O89" i="2"/>
  <c r="O88" i="2"/>
  <c r="O66" i="2"/>
  <c r="O78" i="2"/>
  <c r="O48" i="2"/>
  <c r="O32" i="2"/>
  <c r="O25" i="2"/>
  <c r="O51" i="2"/>
  <c r="O8" i="2"/>
  <c r="O36" i="2"/>
  <c r="O12" i="2"/>
  <c r="O62" i="2"/>
  <c r="O86" i="2"/>
  <c r="O40" i="2"/>
  <c r="O4" i="2"/>
  <c r="O21" i="2"/>
  <c r="O2" i="2"/>
  <c r="O71" i="2"/>
  <c r="O70" i="2"/>
  <c r="O30" i="2"/>
  <c r="O85" i="2"/>
  <c r="O55" i="2"/>
  <c r="O99" i="2"/>
  <c r="O9" i="2"/>
  <c r="O65" i="2"/>
  <c r="O10" i="2"/>
  <c r="O92" i="2"/>
  <c r="O41" i="2"/>
  <c r="O52" i="2"/>
  <c r="O75" i="2"/>
  <c r="O77" i="2"/>
  <c r="O42" i="2"/>
  <c r="O63" i="2"/>
  <c r="O43" i="2"/>
  <c r="O90" i="2"/>
  <c r="O16" i="2"/>
  <c r="O96" i="2"/>
  <c r="O15" i="2"/>
  <c r="O11" i="2"/>
  <c r="O47" i="2"/>
  <c r="O67" i="2"/>
  <c r="O6" i="2"/>
  <c r="O91" i="2"/>
  <c r="O57" i="2"/>
  <c r="O69" i="2"/>
  <c r="O53" i="2"/>
  <c r="O59" i="2"/>
  <c r="O46" i="2"/>
  <c r="O20" i="2"/>
  <c r="O26" i="2"/>
  <c r="O39" i="2"/>
  <c r="O68" i="2"/>
  <c r="O5" i="2"/>
  <c r="O22" i="2"/>
  <c r="O50" i="2"/>
  <c r="O87" i="2"/>
  <c r="O56" i="2"/>
  <c r="O23" i="2"/>
  <c r="O28" i="2"/>
  <c r="O31" i="2"/>
  <c r="O94" i="2"/>
  <c r="O54" i="2"/>
  <c r="O3" i="2"/>
  <c r="O17" i="2"/>
  <c r="O74" i="2"/>
  <c r="O81" i="2"/>
  <c r="O79" i="2"/>
  <c r="O37" i="2"/>
  <c r="O100" i="2"/>
  <c r="P44" i="2"/>
  <c r="P27" i="2"/>
  <c r="P38" i="2"/>
  <c r="P76" i="2"/>
  <c r="P34" i="2"/>
  <c r="P64" i="2"/>
  <c r="P7" i="2"/>
  <c r="P93" i="2"/>
  <c r="P82" i="2"/>
  <c r="P35" i="2"/>
  <c r="P95" i="2"/>
  <c r="P49" i="2"/>
  <c r="P33" i="2"/>
  <c r="P84" i="2"/>
  <c r="P80" i="2"/>
  <c r="P14" i="2"/>
  <c r="P60" i="2"/>
  <c r="P61" i="2"/>
  <c r="P45" i="2"/>
  <c r="P98" i="2"/>
  <c r="P19" i="2"/>
  <c r="P13" i="2"/>
  <c r="P72" i="2"/>
  <c r="P29" i="2"/>
  <c r="P58" i="2"/>
  <c r="P18" i="2"/>
  <c r="P24" i="2"/>
  <c r="P97" i="2"/>
  <c r="P73" i="2"/>
  <c r="P83" i="2"/>
  <c r="P89" i="2"/>
  <c r="P88" i="2"/>
  <c r="P66" i="2"/>
  <c r="P78" i="2"/>
  <c r="P48" i="2"/>
  <c r="P32" i="2"/>
  <c r="P25" i="2"/>
  <c r="P51" i="2"/>
  <c r="P8" i="2"/>
  <c r="P36" i="2"/>
  <c r="P12" i="2"/>
  <c r="P62" i="2"/>
  <c r="P86" i="2"/>
  <c r="P40" i="2"/>
  <c r="P4" i="2"/>
  <c r="P21" i="2"/>
  <c r="P2" i="2"/>
  <c r="P71" i="2"/>
  <c r="P70" i="2"/>
  <c r="P30" i="2"/>
  <c r="P85" i="2"/>
  <c r="P55" i="2"/>
  <c r="P99" i="2"/>
  <c r="P9" i="2"/>
  <c r="P65" i="2"/>
  <c r="P10" i="2"/>
  <c r="P92" i="2"/>
  <c r="P41" i="2"/>
  <c r="P52" i="2"/>
  <c r="P75" i="2"/>
  <c r="P77" i="2"/>
  <c r="P42" i="2"/>
  <c r="P63" i="2"/>
  <c r="P43" i="2"/>
  <c r="P90" i="2"/>
  <c r="P16" i="2"/>
  <c r="P96" i="2"/>
  <c r="P15" i="2"/>
  <c r="P11" i="2"/>
  <c r="P47" i="2"/>
  <c r="P67" i="2"/>
  <c r="P6" i="2"/>
  <c r="P91" i="2"/>
  <c r="P57" i="2"/>
  <c r="P69" i="2"/>
  <c r="P53" i="2"/>
  <c r="P59" i="2"/>
  <c r="P46" i="2"/>
  <c r="P20" i="2"/>
  <c r="P26" i="2"/>
  <c r="P39" i="2"/>
  <c r="P68" i="2"/>
  <c r="P5" i="2"/>
  <c r="P22" i="2"/>
  <c r="P50" i="2"/>
  <c r="P87" i="2"/>
  <c r="P56" i="2"/>
  <c r="P23" i="2"/>
  <c r="P28" i="2"/>
  <c r="P31" i="2"/>
  <c r="P94" i="2"/>
  <c r="P54" i="2"/>
  <c r="P3" i="2"/>
  <c r="P17" i="2"/>
  <c r="P74" i="2"/>
  <c r="P81" i="2"/>
  <c r="P79" i="2"/>
  <c r="P37" i="2"/>
  <c r="P100" i="2"/>
  <c r="V11" i="2" l="1"/>
  <c r="V13" i="2"/>
  <c r="V12" i="2"/>
  <c r="V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B1DE51-AA20-4041-8A22-7B508C4B3F6F}" keepAlive="1" name="ModelConnection_ExternalData_1" description="Data Model" type="5" refreshedVersion="8" minRefreshableVersion="5" saveData="1">
    <dbPr connection="Data Model Connection" command="Sheet1" commandType="3"/>
    <extLst>
      <ext xmlns:x15="http://schemas.microsoft.com/office/spreadsheetml/2010/11/main" uri="{DE250136-89BD-433C-8126-D09CA5730AF9}">
        <x15:connection id="" model="1"/>
      </ext>
    </extLst>
  </connection>
  <connection id="2" xr16:uid="{5FAB4E59-09D1-48AE-9438-D3521067A49F}" name="Query - Sheet1" description="Connection to the 'Sheet1' query in the workbook." type="100" refreshedVersion="8" minRefreshableVersion="5">
    <extLst>
      <ext xmlns:x15="http://schemas.microsoft.com/office/spreadsheetml/2010/11/main" uri="{DE250136-89BD-433C-8126-D09CA5730AF9}">
        <x15:connection id="245df380-3892-4e29-877f-d8809ad2d978"/>
      </ext>
    </extLst>
  </connection>
  <connection id="3" xr16:uid="{D41E7287-1F88-4255-B3AA-809973609C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3D28D85-1E0C-457B-A0DC-A800E898414C}" name="WorksheetConnection_Book1!Sheet1" type="102" refreshedVersion="8" minRefreshableVersion="5">
    <extLst>
      <ext xmlns:x15="http://schemas.microsoft.com/office/spreadsheetml/2010/11/main" uri="{DE250136-89BD-433C-8126-D09CA5730AF9}">
        <x15:connection id="Sheet1 1" autoDelete="1">
          <x15:rangePr sourceName="_xlcn.WorksheetConnection_Book1Sheet11"/>
        </x15:connection>
      </ext>
    </extLst>
  </connection>
</connections>
</file>

<file path=xl/sharedStrings.xml><?xml version="1.0" encoding="utf-8"?>
<sst xmlns="http://schemas.openxmlformats.org/spreadsheetml/2006/main" count="819" uniqueCount="275">
  <si>
    <t>Employee ID</t>
  </si>
  <si>
    <t>Name</t>
  </si>
  <si>
    <t>Department</t>
  </si>
  <si>
    <t>Country</t>
  </si>
  <si>
    <t>Salary</t>
  </si>
  <si>
    <t>Date of Joining</t>
  </si>
  <si>
    <t>Performance Rating</t>
  </si>
  <si>
    <t>Gender</t>
  </si>
  <si>
    <t>Email</t>
  </si>
  <si>
    <t>EMP1000</t>
  </si>
  <si>
    <t>Unknown</t>
  </si>
  <si>
    <t>Finance</t>
  </si>
  <si>
    <t>India</t>
  </si>
  <si>
    <t>Not_available</t>
  </si>
  <si>
    <t>EMP1001</t>
  </si>
  <si>
    <t>Eve Adams</t>
  </si>
  <si>
    <t>HR</t>
  </si>
  <si>
    <t>Germany</t>
  </si>
  <si>
    <t>Other</t>
  </si>
  <si>
    <t>user106@example.com</t>
  </si>
  <si>
    <t>EMP1002</t>
  </si>
  <si>
    <t>Alice Brown</t>
  </si>
  <si>
    <t>user176@example.com</t>
  </si>
  <si>
    <t>EMP1003</t>
  </si>
  <si>
    <t>John Doe</t>
  </si>
  <si>
    <t>Sales</t>
  </si>
  <si>
    <t>USA</t>
  </si>
  <si>
    <t>Male</t>
  </si>
  <si>
    <t>user168@example.com</t>
  </si>
  <si>
    <t>EMP1004</t>
  </si>
  <si>
    <t>Jane Smith</t>
  </si>
  <si>
    <t>user49@example.com</t>
  </si>
  <si>
    <t>EMP1005</t>
  </si>
  <si>
    <t>IT</t>
  </si>
  <si>
    <t>Female</t>
  </si>
  <si>
    <t>user24@example.com</t>
  </si>
  <si>
    <t>EMP1007</t>
  </si>
  <si>
    <t>Chris Lee</t>
  </si>
  <si>
    <t>Marketing</t>
  </si>
  <si>
    <t>user26@example.com</t>
  </si>
  <si>
    <t>EMP1008</t>
  </si>
  <si>
    <t>user25@example.com</t>
  </si>
  <si>
    <t>EMP1009</t>
  </si>
  <si>
    <t>UK</t>
  </si>
  <si>
    <t>user153@example.com</t>
  </si>
  <si>
    <t>EMP1010</t>
  </si>
  <si>
    <t>Sam Wilson</t>
  </si>
  <si>
    <t>user18@example.com</t>
  </si>
  <si>
    <t>EMP1011</t>
  </si>
  <si>
    <t>user1@example.com</t>
  </si>
  <si>
    <t>EMP1013</t>
  </si>
  <si>
    <t>user180@example.com</t>
  </si>
  <si>
    <t>EMP1014</t>
  </si>
  <si>
    <t>user184@example.com</t>
  </si>
  <si>
    <t>EMP1015</t>
  </si>
  <si>
    <t>user3@example.com</t>
  </si>
  <si>
    <t>EMP1016</t>
  </si>
  <si>
    <t>Bob Johnson</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</si>
  <si>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</si>
  <si>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</si>
  <si>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</si>
  <si>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</si>
  <si>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</si>
  <si>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</si>
  <si>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</si>
  <si>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</si>
  <si>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</si>
  <si>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</si>
  <si>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</si>
  <si>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</si>
  <si>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</si>
  <si>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</si>
  <si>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</si>
  <si>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</si>
  <si>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</si>
  <si>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</si>
  <si>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</si>
  <si>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</si>
  <si>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</si>
  <si>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</si>
  <si>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</si>
  <si>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</si>
  <si>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</si>
  <si>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</si>
  <si>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</si>
  <si>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</si>
  <si>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</si>
  <si>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</si>
  <si>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</si>
  <si>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</si>
  <si>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</si>
  <si>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</si>
  <si>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</si>
  <si>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</si>
  <si>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</si>
  <si>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</si>
  <si>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</si>
  <si>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</si>
  <si>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</si>
  <si>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</si>
  <si>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</si>
  <si>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</si>
  <si>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</si>
  <si>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</si>
  <si>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</si>
  <si>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</si>
  <si>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</si>
  <si>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</si>
  <si>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</si>
  <si>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</si>
  <si>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</si>
  <si>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</si>
  <si>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</si>
  <si>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</si>
  <si>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EMP1046</t>
  </si>
  <si>
    <t>user199@example.com</t>
  </si>
  <si>
    <t>EMP1047</t>
  </si>
  <si>
    <t>user43@example.com</t>
  </si>
  <si>
    <t>EMP1050</t>
  </si>
  <si>
    <t>user95@example.com</t>
  </si>
  <si>
    <t>EMP1051</t>
  </si>
  <si>
    <t>user59@example.com</t>
  </si>
  <si>
    <t>EMP1052</t>
  </si>
  <si>
    <t>user152@example.com</t>
  </si>
  <si>
    <t>EMP1054</t>
  </si>
  <si>
    <t>user92@example.com</t>
  </si>
  <si>
    <t>EMP1055</t>
  </si>
  <si>
    <t>user50@example.com</t>
  </si>
  <si>
    <t>EMP1056</t>
  </si>
  <si>
    <t>user63@example.com</t>
  </si>
  <si>
    <t>EMP1058</t>
  </si>
  <si>
    <t>user150@example.com</t>
  </si>
  <si>
    <t>EMP1060</t>
  </si>
  <si>
    <t>user112@example.com</t>
  </si>
  <si>
    <t>EMP1062</t>
  </si>
  <si>
    <t>user71@example.com</t>
  </si>
  <si>
    <t>EMP1063</t>
  </si>
  <si>
    <t>user97@example.com</t>
  </si>
  <si>
    <t>EMP1064</t>
  </si>
  <si>
    <t>user141@example.com</t>
  </si>
  <si>
    <t>EMP1065</t>
  </si>
  <si>
    <t>user125@example.com</t>
  </si>
  <si>
    <t>EMP1066</t>
  </si>
  <si>
    <t>user90@example.com</t>
  </si>
  <si>
    <t>EMP1067</t>
  </si>
  <si>
    <t>user192@example.com</t>
  </si>
  <si>
    <t>EMP1069</t>
  </si>
  <si>
    <t>user65@example.com</t>
  </si>
  <si>
    <t>EMP1071</t>
  </si>
  <si>
    <t>user142@example.com</t>
  </si>
  <si>
    <t>EMP1075</t>
  </si>
  <si>
    <t>user17@example.com</t>
  </si>
  <si>
    <t>EMP1077</t>
  </si>
  <si>
    <t>user22@example.com</t>
  </si>
  <si>
    <t>EMP1078</t>
  </si>
  <si>
    <t>user46@example.com</t>
  </si>
  <si>
    <t>EMP1079</t>
  </si>
  <si>
    <t>user55@example.com</t>
  </si>
  <si>
    <t>EMP1081</t>
  </si>
  <si>
    <t>user156@example.com</t>
  </si>
  <si>
    <t>EMP1082</t>
  </si>
  <si>
    <t>user104@example.com</t>
  </si>
  <si>
    <t>EMP1083</t>
  </si>
  <si>
    <t>user145@example.com</t>
  </si>
  <si>
    <t>EMP1085</t>
  </si>
  <si>
    <t>user197@example.com</t>
  </si>
  <si>
    <t>EMP1086</t>
  </si>
  <si>
    <t>user177@example.com</t>
  </si>
  <si>
    <t>EMP1088</t>
  </si>
  <si>
    <t>user48@example.com</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</si>
  <si>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</si>
  <si>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</si>
  <si>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</si>
  <si>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</si>
  <si>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</si>
  <si>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</si>
  <si>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</si>
  <si>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</si>
  <si>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</si>
  <si>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</si>
  <si>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</si>
  <si>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</si>
  <si>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</si>
  <si>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</si>
  <si>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</si>
  <si>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</si>
  <si>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EMP1102</t>
  </si>
  <si>
    <t>user54@example.com</t>
  </si>
  <si>
    <t>EMP1106</t>
  </si>
  <si>
    <t>user189@example.com</t>
  </si>
  <si>
    <t>EMP1108</t>
  </si>
  <si>
    <t>user93@example.com</t>
  </si>
  <si>
    <t>EMP1109</t>
  </si>
  <si>
    <t>user174@example.com</t>
  </si>
  <si>
    <t>EMP1110</t>
  </si>
  <si>
    <t>user44@example.com</t>
  </si>
  <si>
    <t>EMP1113</t>
  </si>
  <si>
    <t>user82@example.com</t>
  </si>
  <si>
    <t>EMP1117</t>
  </si>
  <si>
    <t>user137@example.com</t>
  </si>
  <si>
    <t>EMP1118</t>
  </si>
  <si>
    <t>user23@example.com</t>
  </si>
  <si>
    <t>EMP1120</t>
  </si>
  <si>
    <t>user101@example.com</t>
  </si>
  <si>
    <t>EMP1121</t>
  </si>
  <si>
    <t>user132@example.com</t>
  </si>
  <si>
    <t>EMP1122</t>
  </si>
  <si>
    <t>user171@example.com</t>
  </si>
  <si>
    <t>EMP1124</t>
  </si>
  <si>
    <t>user75@example.com</t>
  </si>
  <si>
    <t>EMP1125</t>
  </si>
  <si>
    <t>user52@example.com</t>
  </si>
  <si>
    <t>EMP1126</t>
  </si>
  <si>
    <t>user100@example.com</t>
  </si>
  <si>
    <t>EMP1128</t>
  </si>
  <si>
    <t>user167@example.com</t>
  </si>
  <si>
    <t>EMP1132</t>
  </si>
  <si>
    <t>user188@example.com</t>
  </si>
  <si>
    <t>EMP1137</t>
  </si>
  <si>
    <t>user165@example.com</t>
  </si>
  <si>
    <t>EMP1143</t>
  </si>
  <si>
    <t>user114@example.com</t>
  </si>
  <si>
    <t>EMP1144</t>
  </si>
  <si>
    <t>user53@example.com</t>
  </si>
  <si>
    <t>EMP1147</t>
  </si>
  <si>
    <t>user163@example.com</t>
  </si>
  <si>
    <t>EMP1149</t>
  </si>
  <si>
    <t>user30@example.com</t>
  </si>
  <si>
    <t>Summary</t>
  </si>
  <si>
    <t>Avg_ salary</t>
  </si>
  <si>
    <t xml:space="preserve">Gender Unknown  count </t>
  </si>
  <si>
    <t>Highest_salary</t>
  </si>
  <si>
    <t>Lowest salary</t>
  </si>
  <si>
    <t>Commision</t>
  </si>
  <si>
    <t>Total_salary</t>
  </si>
  <si>
    <t>count</t>
  </si>
  <si>
    <t>Joining_year</t>
  </si>
  <si>
    <t>Joining _month</t>
  </si>
  <si>
    <t>Row Labels</t>
  </si>
  <si>
    <t>Grand Total</t>
  </si>
  <si>
    <t>Column Labels</t>
  </si>
  <si>
    <t>Count of Employee ID</t>
  </si>
  <si>
    <t>Employee hiring is peak in 2015 compared to other years</t>
  </si>
  <si>
    <t>Average of Salary</t>
  </si>
  <si>
    <t>Count of Salary</t>
  </si>
  <si>
    <t>Tenure</t>
  </si>
  <si>
    <t>Present_Date</t>
  </si>
  <si>
    <t>2015</t>
  </si>
  <si>
    <t>2016</t>
  </si>
  <si>
    <t>2017</t>
  </si>
  <si>
    <t>Qtr1</t>
  </si>
  <si>
    <t>Qtr2</t>
  </si>
  <si>
    <t>Qtr3</t>
  </si>
  <si>
    <t>Qtr4</t>
  </si>
  <si>
    <t>Normal performer</t>
  </si>
  <si>
    <t>Poor performer</t>
  </si>
  <si>
    <t>Moderate performer</t>
  </si>
  <si>
    <t>Outstanding</t>
  </si>
  <si>
    <t>Good Performer</t>
  </si>
  <si>
    <t>Peformance_label</t>
  </si>
  <si>
    <t>Mean</t>
  </si>
  <si>
    <t>Standard Error</t>
  </si>
  <si>
    <t>Median</t>
  </si>
  <si>
    <t>Mode</t>
  </si>
  <si>
    <t>Standard Deviation</t>
  </si>
  <si>
    <t>Sample Variance</t>
  </si>
  <si>
    <t>Kurtosis</t>
  </si>
  <si>
    <t>Skewness</t>
  </si>
  <si>
    <t>Range</t>
  </si>
  <si>
    <t>Minimum</t>
  </si>
  <si>
    <t>Maximum</t>
  </si>
  <si>
    <t>Sum</t>
  </si>
  <si>
    <t>Count</t>
  </si>
  <si>
    <t>Total salary analysis</t>
  </si>
  <si>
    <t>Total_country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</si>
</sst>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6" formatCode="&quot;₹&quot;\ #,##0"/>
  </numFmts>
  <fonts count="4" x14ac:knownFonts="1">
    <font>
      <sz val="11"/>
      <color theme="1"/>
      <name val="Calibri"/>
      <family val="2"/>
      <scheme val="minor"/>
    </font>
    <font>
      <b/>
      <sz val="11"/>
      <color theme="1"/>
      <name val="Calibri"/>
      <family val="2"/>
      <scheme val="minor"/>
    </font>
    <font>
      <b/>
      <sz val="28"/>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24">
    <xf numFmtId="0" fontId="0" fillId="0" borderId="0" xfId="0"/>
    <xf numFmtId="0" fontId="0" fillId="0" borderId="0" xfId="0" applyNumberFormat="1"/>
    <xf numFmtId="14" fontId="0" fillId="0" borderId="0" xfId="0" applyNumberFormat="1"/>
    <xf numFmtId="164" fontId="0" fillId="0" borderId="0" xfId="0" applyNumberFormat="1"/>
    <xf numFmtId="166" fontId="0" fillId="0" borderId="0" xfId="0" applyNumberFormat="1"/>
    <xf numFmtId="0" fontId="0" fillId="2" borderId="0" xfId="0" applyFill="1"/>
    <xf numFmtId="166" fontId="0" fillId="2" borderId="0" xfId="0" applyNumberFormat="1" applyFill="1"/>
    <xf numFmtId="0" fontId="0" fillId="0" borderId="1" xfId="0" applyBorder="1"/>
    <xf numFmtId="166" fontId="0" fillId="0" borderId="1" xfId="0" applyNumberFormat="1" applyBorder="1"/>
    <xf numFmtId="166" fontId="0" fillId="2" borderId="1" xfId="0" applyNumberFormat="1" applyFill="1" applyBorder="1"/>
    <xf numFmtId="0" fontId="0" fillId="2" borderId="1" xfId="0" applyFill="1" applyBorder="1"/>
    <xf numFmtId="0" fontId="0" fillId="0" borderId="0" xfId="0" pivotButton="1"/>
    <xf numFmtId="0" fontId="0" fillId="0" borderId="0" xfId="0" applyAlignment="1">
      <alignment horizontal="left"/>
    </xf>
    <xf numFmtId="0" fontId="0" fillId="0" borderId="1" xfId="0" applyFill="1" applyBorder="1"/>
    <xf numFmtId="22" fontId="0" fillId="0" borderId="0" xfId="0" applyNumberFormat="1"/>
    <xf numFmtId="0" fontId="1" fillId="0" borderId="0" xfId="0" applyFont="1"/>
    <xf numFmtId="0" fontId="2" fillId="0" borderId="0" xfId="0" applyFont="1"/>
    <xf numFmtId="0" fontId="0" fillId="0" borderId="1" xfId="0" pivotButton="1" applyBorder="1"/>
    <xf numFmtId="0" fontId="0" fillId="0" borderId="1" xfId="0" applyBorder="1" applyAlignment="1">
      <alignment horizontal="left"/>
    </xf>
    <xf numFmtId="0" fontId="0" fillId="0" borderId="1" xfId="0" applyNumberFormat="1" applyBorder="1"/>
    <xf numFmtId="0" fontId="0" fillId="0" borderId="1" xfId="0" applyBorder="1" applyAlignment="1">
      <alignment horizontal="left" indent="1"/>
    </xf>
    <xf numFmtId="0" fontId="0" fillId="0" borderId="0" xfId="0" applyFill="1" applyBorder="1" applyAlignment="1"/>
    <xf numFmtId="0" fontId="3" fillId="0" borderId="2" xfId="0" applyFont="1" applyFill="1" applyBorder="1" applyAlignment="1">
      <alignment horizontal="centerContinuous"/>
    </xf>
    <xf numFmtId="0" fontId="0" fillId="0" borderId="1" xfId="0" applyFill="1" applyBorder="1" applyAlignment="1"/>
  </cellXfs>
  <cellStyles count="1">
    <cellStyle name="Normal" xfId="0" builtinId="0"/>
  </cellStyles>
  <dxfs count="64">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numFmt numFmtId="27" formatCode="dd/mm/yyyy\ hh:mm"/>
    </dxf>
    <dxf>
      <numFmt numFmtId="0" formatCode="General"/>
    </dxf>
    <dxf>
      <numFmt numFmtId="0" formatCode="General"/>
    </dxf>
    <dxf>
      <numFmt numFmtId="0" formatCode="General"/>
    </dxf>
    <dxf>
      <numFmt numFmtId="166" formatCode="&quot;₹&quot;\ #,##0"/>
    </dxf>
    <dxf>
      <numFmt numFmtId="0" formatCode="General"/>
    </dxf>
    <dxf>
      <numFmt numFmtId="0" formatCode="General"/>
    </dxf>
    <dxf>
      <numFmt numFmtId="0" formatCode="General"/>
    </dxf>
    <dxf>
      <numFmt numFmtId="19" formatCode="dd/mm/yyyy"/>
    </dxf>
    <dxf>
      <numFmt numFmtId="166" formatCode="&quot;₹&quot;\ #,##0"/>
    </dxf>
    <dxf>
      <numFmt numFmtId="0" formatCode="General"/>
    </dxf>
    <dxf>
      <numFmt numFmtId="0" formatCode="General"/>
    </dxf>
    <dxf>
      <numFmt numFmtId="0" formatCode="General"/>
    </dxf>
    <dxf>
      <numFmt numFmtId="0" formatCode="General"/>
    </dxf>
    <dxf>
      <fill>
        <patternFill>
          <bgColor theme="7" tint="0.39994506668294322"/>
        </patternFill>
      </fill>
    </dxf>
    <dxf>
      <fill>
        <patternFill>
          <bgColor theme="7" tint="0.39994506668294322"/>
        </patternFill>
      </fill>
    </dxf>
    <dxf>
      <fill>
        <patternFill>
          <bgColor theme="7" tint="0.3999450666829432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3.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21.xlsx]Pivot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Yearwise</a:t>
            </a:r>
            <a:r>
              <a:rPr lang="en-IN" baseline="0"/>
              <a:t> joining employees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table'!$A$4:$A$7</c:f>
              <c:strCache>
                <c:ptCount val="3"/>
                <c:pt idx="0">
                  <c:v>2015</c:v>
                </c:pt>
                <c:pt idx="1">
                  <c:v>2016</c:v>
                </c:pt>
                <c:pt idx="2">
                  <c:v>2017</c:v>
                </c:pt>
              </c:strCache>
            </c:strRef>
          </c:cat>
          <c:val>
            <c:numRef>
              <c:f>'Pivot table'!$B$4:$B$7</c:f>
              <c:numCache>
                <c:formatCode>General</c:formatCode>
                <c:ptCount val="3"/>
                <c:pt idx="0">
                  <c:v>42</c:v>
                </c:pt>
                <c:pt idx="1">
                  <c:v>37</c:v>
                </c:pt>
                <c:pt idx="2">
                  <c:v>18</c:v>
                </c:pt>
              </c:numCache>
            </c:numRef>
          </c:val>
          <c:extLst>
            <c:ext xmlns:c16="http://schemas.microsoft.com/office/drawing/2014/chart" uri="{C3380CC4-5D6E-409C-BE32-E72D297353CC}">
              <c16:uniqueId val="{00000000-49E5-4BAA-A9D5-D355BC4C1F3C}"/>
            </c:ext>
          </c:extLst>
        </c:ser>
        <c:dLbls>
          <c:showLegendKey val="0"/>
          <c:showVal val="0"/>
          <c:showCatName val="0"/>
          <c:showSerName val="0"/>
          <c:showPercent val="0"/>
          <c:showBubbleSize val="0"/>
        </c:dLbls>
        <c:gapWidth val="150"/>
        <c:shape val="box"/>
        <c:axId val="1421370239"/>
        <c:axId val="1421369759"/>
        <c:axId val="0"/>
      </c:bar3DChart>
      <c:catAx>
        <c:axId val="1421370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369759"/>
        <c:crosses val="autoZero"/>
        <c:auto val="1"/>
        <c:lblAlgn val="ctr"/>
        <c:lblOffset val="100"/>
        <c:noMultiLvlLbl val="0"/>
      </c:catAx>
      <c:valAx>
        <c:axId val="142136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37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21.xlsx]Pivot table!PivotTable5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table'!$C$22:$C$23</c:f>
              <c:strCache>
                <c:ptCount val="1"/>
                <c:pt idx="0">
                  <c:v>Australia</c:v>
                </c:pt>
              </c:strCache>
            </c:strRef>
          </c:tx>
          <c:spPr>
            <a:ln w="28575" cap="rnd">
              <a:solidFill>
                <a:schemeClr val="accent1"/>
              </a:solidFill>
              <a:round/>
            </a:ln>
            <a:effectLst/>
          </c:spPr>
          <c:marker>
            <c:symbol val="none"/>
          </c:marker>
          <c:cat>
            <c:strRef>
              <c:f>'Pivot table'!$B$24:$B$29</c:f>
              <c:strCache>
                <c:ptCount val="5"/>
                <c:pt idx="0">
                  <c:v>Finance</c:v>
                </c:pt>
                <c:pt idx="1">
                  <c:v>HR</c:v>
                </c:pt>
                <c:pt idx="2">
                  <c:v>IT</c:v>
                </c:pt>
                <c:pt idx="3">
                  <c:v>Marketing</c:v>
                </c:pt>
                <c:pt idx="4">
                  <c:v>Sales</c:v>
                </c:pt>
              </c:strCache>
            </c:strRef>
          </c:cat>
          <c:val>
            <c:numRef>
              <c:f>'Pivot table'!$C$24:$C$29</c:f>
              <c:numCache>
                <c:formatCode>General</c:formatCode>
                <c:ptCount val="5"/>
                <c:pt idx="0">
                  <c:v>2</c:v>
                </c:pt>
                <c:pt idx="2">
                  <c:v>1</c:v>
                </c:pt>
                <c:pt idx="3">
                  <c:v>3</c:v>
                </c:pt>
                <c:pt idx="4">
                  <c:v>3</c:v>
                </c:pt>
              </c:numCache>
            </c:numRef>
          </c:val>
          <c:smooth val="0"/>
          <c:extLst>
            <c:ext xmlns:c16="http://schemas.microsoft.com/office/drawing/2014/chart" uri="{C3380CC4-5D6E-409C-BE32-E72D297353CC}">
              <c16:uniqueId val="{00000000-B181-4959-8454-D1CE6D07C57D}"/>
            </c:ext>
          </c:extLst>
        </c:ser>
        <c:ser>
          <c:idx val="1"/>
          <c:order val="1"/>
          <c:tx>
            <c:strRef>
              <c:f>'Pivot table'!$D$22:$D$23</c:f>
              <c:strCache>
                <c:ptCount val="1"/>
                <c:pt idx="0">
                  <c:v>Germany</c:v>
                </c:pt>
              </c:strCache>
            </c:strRef>
          </c:tx>
          <c:spPr>
            <a:ln w="28575" cap="rnd">
              <a:solidFill>
                <a:schemeClr val="accent2"/>
              </a:solidFill>
              <a:round/>
            </a:ln>
            <a:effectLst/>
          </c:spPr>
          <c:marker>
            <c:symbol val="none"/>
          </c:marker>
          <c:cat>
            <c:strRef>
              <c:f>'Pivot table'!$B$24:$B$29</c:f>
              <c:strCache>
                <c:ptCount val="5"/>
                <c:pt idx="0">
                  <c:v>Finance</c:v>
                </c:pt>
                <c:pt idx="1">
                  <c:v>HR</c:v>
                </c:pt>
                <c:pt idx="2">
                  <c:v>IT</c:v>
                </c:pt>
                <c:pt idx="3">
                  <c:v>Marketing</c:v>
                </c:pt>
                <c:pt idx="4">
                  <c:v>Sales</c:v>
                </c:pt>
              </c:strCache>
            </c:strRef>
          </c:cat>
          <c:val>
            <c:numRef>
              <c:f>'Pivot table'!$D$24:$D$29</c:f>
              <c:numCache>
                <c:formatCode>General</c:formatCode>
                <c:ptCount val="5"/>
                <c:pt idx="0">
                  <c:v>1</c:v>
                </c:pt>
                <c:pt idx="1">
                  <c:v>5</c:v>
                </c:pt>
                <c:pt idx="2">
                  <c:v>3</c:v>
                </c:pt>
                <c:pt idx="3">
                  <c:v>3</c:v>
                </c:pt>
                <c:pt idx="4">
                  <c:v>3</c:v>
                </c:pt>
              </c:numCache>
            </c:numRef>
          </c:val>
          <c:smooth val="0"/>
          <c:extLst>
            <c:ext xmlns:c16="http://schemas.microsoft.com/office/drawing/2014/chart" uri="{C3380CC4-5D6E-409C-BE32-E72D297353CC}">
              <c16:uniqueId val="{00000001-B181-4959-8454-D1CE6D07C57D}"/>
            </c:ext>
          </c:extLst>
        </c:ser>
        <c:ser>
          <c:idx val="2"/>
          <c:order val="2"/>
          <c:tx>
            <c:strRef>
              <c:f>'Pivot table'!$E$22:$E$23</c:f>
              <c:strCache>
                <c:ptCount val="1"/>
                <c:pt idx="0">
                  <c:v>India</c:v>
                </c:pt>
              </c:strCache>
            </c:strRef>
          </c:tx>
          <c:spPr>
            <a:ln w="28575" cap="rnd">
              <a:solidFill>
                <a:schemeClr val="accent3"/>
              </a:solidFill>
              <a:round/>
            </a:ln>
            <a:effectLst/>
          </c:spPr>
          <c:marker>
            <c:symbol val="none"/>
          </c:marker>
          <c:cat>
            <c:strRef>
              <c:f>'Pivot table'!$B$24:$B$29</c:f>
              <c:strCache>
                <c:ptCount val="5"/>
                <c:pt idx="0">
                  <c:v>Finance</c:v>
                </c:pt>
                <c:pt idx="1">
                  <c:v>HR</c:v>
                </c:pt>
                <c:pt idx="2">
                  <c:v>IT</c:v>
                </c:pt>
                <c:pt idx="3">
                  <c:v>Marketing</c:v>
                </c:pt>
                <c:pt idx="4">
                  <c:v>Sales</c:v>
                </c:pt>
              </c:strCache>
            </c:strRef>
          </c:cat>
          <c:val>
            <c:numRef>
              <c:f>'Pivot table'!$E$24:$E$29</c:f>
              <c:numCache>
                <c:formatCode>General</c:formatCode>
                <c:ptCount val="5"/>
                <c:pt idx="0">
                  <c:v>7</c:v>
                </c:pt>
                <c:pt idx="1">
                  <c:v>6</c:v>
                </c:pt>
                <c:pt idx="2">
                  <c:v>8</c:v>
                </c:pt>
                <c:pt idx="3">
                  <c:v>12</c:v>
                </c:pt>
                <c:pt idx="4">
                  <c:v>6</c:v>
                </c:pt>
              </c:numCache>
            </c:numRef>
          </c:val>
          <c:smooth val="0"/>
          <c:extLst>
            <c:ext xmlns:c16="http://schemas.microsoft.com/office/drawing/2014/chart" uri="{C3380CC4-5D6E-409C-BE32-E72D297353CC}">
              <c16:uniqueId val="{00000002-B181-4959-8454-D1CE6D07C57D}"/>
            </c:ext>
          </c:extLst>
        </c:ser>
        <c:ser>
          <c:idx val="3"/>
          <c:order val="3"/>
          <c:tx>
            <c:strRef>
              <c:f>'Pivot table'!$F$22:$F$23</c:f>
              <c:strCache>
                <c:ptCount val="1"/>
                <c:pt idx="0">
                  <c:v>UK</c:v>
                </c:pt>
              </c:strCache>
            </c:strRef>
          </c:tx>
          <c:spPr>
            <a:ln w="28575" cap="rnd">
              <a:solidFill>
                <a:schemeClr val="accent4"/>
              </a:solidFill>
              <a:round/>
            </a:ln>
            <a:effectLst/>
          </c:spPr>
          <c:marker>
            <c:symbol val="none"/>
          </c:marker>
          <c:cat>
            <c:strRef>
              <c:f>'Pivot table'!$B$24:$B$29</c:f>
              <c:strCache>
                <c:ptCount val="5"/>
                <c:pt idx="0">
                  <c:v>Finance</c:v>
                </c:pt>
                <c:pt idx="1">
                  <c:v>HR</c:v>
                </c:pt>
                <c:pt idx="2">
                  <c:v>IT</c:v>
                </c:pt>
                <c:pt idx="3">
                  <c:v>Marketing</c:v>
                </c:pt>
                <c:pt idx="4">
                  <c:v>Sales</c:v>
                </c:pt>
              </c:strCache>
            </c:strRef>
          </c:cat>
          <c:val>
            <c:numRef>
              <c:f>'Pivot table'!$F$24:$F$29</c:f>
              <c:numCache>
                <c:formatCode>General</c:formatCode>
                <c:ptCount val="5"/>
                <c:pt idx="0">
                  <c:v>3</c:v>
                </c:pt>
                <c:pt idx="1">
                  <c:v>3</c:v>
                </c:pt>
                <c:pt idx="2">
                  <c:v>3</c:v>
                </c:pt>
                <c:pt idx="3">
                  <c:v>6</c:v>
                </c:pt>
                <c:pt idx="4">
                  <c:v>1</c:v>
                </c:pt>
              </c:numCache>
            </c:numRef>
          </c:val>
          <c:smooth val="0"/>
          <c:extLst>
            <c:ext xmlns:c16="http://schemas.microsoft.com/office/drawing/2014/chart" uri="{C3380CC4-5D6E-409C-BE32-E72D297353CC}">
              <c16:uniqueId val="{00000003-B181-4959-8454-D1CE6D07C57D}"/>
            </c:ext>
          </c:extLst>
        </c:ser>
        <c:ser>
          <c:idx val="4"/>
          <c:order val="4"/>
          <c:tx>
            <c:strRef>
              <c:f>'Pivot table'!$G$22:$G$23</c:f>
              <c:strCache>
                <c:ptCount val="1"/>
                <c:pt idx="0">
                  <c:v>USA</c:v>
                </c:pt>
              </c:strCache>
            </c:strRef>
          </c:tx>
          <c:spPr>
            <a:ln w="28575" cap="rnd">
              <a:solidFill>
                <a:schemeClr val="accent5"/>
              </a:solidFill>
              <a:round/>
            </a:ln>
            <a:effectLst/>
          </c:spPr>
          <c:marker>
            <c:symbol val="none"/>
          </c:marker>
          <c:cat>
            <c:strRef>
              <c:f>'Pivot table'!$B$24:$B$29</c:f>
              <c:strCache>
                <c:ptCount val="5"/>
                <c:pt idx="0">
                  <c:v>Finance</c:v>
                </c:pt>
                <c:pt idx="1">
                  <c:v>HR</c:v>
                </c:pt>
                <c:pt idx="2">
                  <c:v>IT</c:v>
                </c:pt>
                <c:pt idx="3">
                  <c:v>Marketing</c:v>
                </c:pt>
                <c:pt idx="4">
                  <c:v>Sales</c:v>
                </c:pt>
              </c:strCache>
            </c:strRef>
          </c:cat>
          <c:val>
            <c:numRef>
              <c:f>'Pivot table'!$G$24:$G$29</c:f>
              <c:numCache>
                <c:formatCode>General</c:formatCode>
                <c:ptCount val="5"/>
                <c:pt idx="0">
                  <c:v>1</c:v>
                </c:pt>
                <c:pt idx="1">
                  <c:v>3</c:v>
                </c:pt>
                <c:pt idx="2">
                  <c:v>4</c:v>
                </c:pt>
                <c:pt idx="3">
                  <c:v>5</c:v>
                </c:pt>
                <c:pt idx="4">
                  <c:v>5</c:v>
                </c:pt>
              </c:numCache>
            </c:numRef>
          </c:val>
          <c:smooth val="0"/>
          <c:extLst>
            <c:ext xmlns:c16="http://schemas.microsoft.com/office/drawing/2014/chart" uri="{C3380CC4-5D6E-409C-BE32-E72D297353CC}">
              <c16:uniqueId val="{00000004-B181-4959-8454-D1CE6D07C57D}"/>
            </c:ext>
          </c:extLst>
        </c:ser>
        <c:dLbls>
          <c:showLegendKey val="0"/>
          <c:showVal val="0"/>
          <c:showCatName val="0"/>
          <c:showSerName val="0"/>
          <c:showPercent val="0"/>
          <c:showBubbleSize val="0"/>
        </c:dLbls>
        <c:smooth val="0"/>
        <c:axId val="193005791"/>
        <c:axId val="193006751"/>
      </c:lineChart>
      <c:catAx>
        <c:axId val="19300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06751"/>
        <c:crosses val="autoZero"/>
        <c:auto val="1"/>
        <c:lblAlgn val="ctr"/>
        <c:lblOffset val="100"/>
        <c:noMultiLvlLbl val="0"/>
      </c:catAx>
      <c:valAx>
        <c:axId val="19300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0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21.xlsx]Pivot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Joining in 2015</a:t>
            </a:r>
            <a:endParaRPr lang="en-US"/>
          </a:p>
        </c:rich>
      </c:tx>
      <c:layout>
        <c:manualLayout>
          <c:xMode val="edge"/>
          <c:yMode val="edge"/>
          <c:x val="0.3195137795275589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table'!$B$39:$B$40</c:f>
              <c:strCache>
                <c:ptCount val="1"/>
                <c:pt idx="0">
                  <c:v>Finance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multiLvlStrRef>
              <c:f>'Pivot table'!$A$41:$A$46</c:f>
              <c:multiLvlStrCache>
                <c:ptCount val="4"/>
                <c:lvl>
                  <c:pt idx="0">
                    <c:v>Qtr1</c:v>
                  </c:pt>
                  <c:pt idx="1">
                    <c:v>Qtr2</c:v>
                  </c:pt>
                  <c:pt idx="2">
                    <c:v>Qtr3</c:v>
                  </c:pt>
                  <c:pt idx="3">
                    <c:v>Qtr4</c:v>
                  </c:pt>
                </c:lvl>
                <c:lvl>
                  <c:pt idx="0">
                    <c:v>2015</c:v>
                  </c:pt>
                </c:lvl>
              </c:multiLvlStrCache>
            </c:multiLvlStrRef>
          </c:cat>
          <c:val>
            <c:numRef>
              <c:f>'Pivot table'!$B$41:$B$46</c:f>
              <c:numCache>
                <c:formatCode>General</c:formatCode>
                <c:ptCount val="4"/>
                <c:pt idx="0">
                  <c:v>2</c:v>
                </c:pt>
                <c:pt idx="1">
                  <c:v>4</c:v>
                </c:pt>
                <c:pt idx="3">
                  <c:v>1</c:v>
                </c:pt>
              </c:numCache>
            </c:numRef>
          </c:val>
          <c:extLst>
            <c:ext xmlns:c16="http://schemas.microsoft.com/office/drawing/2014/chart" uri="{C3380CC4-5D6E-409C-BE32-E72D297353CC}">
              <c16:uniqueId val="{00000000-6E10-4F61-BDFC-D7A58D3BF1D7}"/>
            </c:ext>
          </c:extLst>
        </c:ser>
        <c:ser>
          <c:idx val="1"/>
          <c:order val="1"/>
          <c:tx>
            <c:strRef>
              <c:f>'Pivot table'!$C$39:$C$40</c:f>
              <c:strCache>
                <c:ptCount val="1"/>
                <c:pt idx="0">
                  <c:v>HR</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multiLvlStrRef>
              <c:f>'Pivot table'!$A$41:$A$46</c:f>
              <c:multiLvlStrCache>
                <c:ptCount val="4"/>
                <c:lvl>
                  <c:pt idx="0">
                    <c:v>Qtr1</c:v>
                  </c:pt>
                  <c:pt idx="1">
                    <c:v>Qtr2</c:v>
                  </c:pt>
                  <c:pt idx="2">
                    <c:v>Qtr3</c:v>
                  </c:pt>
                  <c:pt idx="3">
                    <c:v>Qtr4</c:v>
                  </c:pt>
                </c:lvl>
                <c:lvl>
                  <c:pt idx="0">
                    <c:v>2015</c:v>
                  </c:pt>
                </c:lvl>
              </c:multiLvlStrCache>
            </c:multiLvlStrRef>
          </c:cat>
          <c:val>
            <c:numRef>
              <c:f>'Pivot table'!$C$41:$C$46</c:f>
              <c:numCache>
                <c:formatCode>General</c:formatCode>
                <c:ptCount val="4"/>
                <c:pt idx="0">
                  <c:v>2</c:v>
                </c:pt>
                <c:pt idx="1">
                  <c:v>3</c:v>
                </c:pt>
                <c:pt idx="2">
                  <c:v>4</c:v>
                </c:pt>
                <c:pt idx="3">
                  <c:v>2</c:v>
                </c:pt>
              </c:numCache>
            </c:numRef>
          </c:val>
          <c:extLst>
            <c:ext xmlns:c16="http://schemas.microsoft.com/office/drawing/2014/chart" uri="{C3380CC4-5D6E-409C-BE32-E72D297353CC}">
              <c16:uniqueId val="{00000006-6E10-4F61-BDFC-D7A58D3BF1D7}"/>
            </c:ext>
          </c:extLst>
        </c:ser>
        <c:ser>
          <c:idx val="2"/>
          <c:order val="2"/>
          <c:tx>
            <c:strRef>
              <c:f>'Pivot table'!$D$39:$D$40</c:f>
              <c:strCache>
                <c:ptCount val="1"/>
                <c:pt idx="0">
                  <c:v>IT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multiLvlStrRef>
              <c:f>'Pivot table'!$A$41:$A$46</c:f>
              <c:multiLvlStrCache>
                <c:ptCount val="4"/>
                <c:lvl>
                  <c:pt idx="0">
                    <c:v>Qtr1</c:v>
                  </c:pt>
                  <c:pt idx="1">
                    <c:v>Qtr2</c:v>
                  </c:pt>
                  <c:pt idx="2">
                    <c:v>Qtr3</c:v>
                  </c:pt>
                  <c:pt idx="3">
                    <c:v>Qtr4</c:v>
                  </c:pt>
                </c:lvl>
                <c:lvl>
                  <c:pt idx="0">
                    <c:v>2015</c:v>
                  </c:pt>
                </c:lvl>
              </c:multiLvlStrCache>
            </c:multiLvlStrRef>
          </c:cat>
          <c:val>
            <c:numRef>
              <c:f>'Pivot table'!$D$41:$D$46</c:f>
              <c:numCache>
                <c:formatCode>General</c:formatCode>
                <c:ptCount val="4"/>
                <c:pt idx="0">
                  <c:v>3</c:v>
                </c:pt>
                <c:pt idx="1">
                  <c:v>1</c:v>
                </c:pt>
                <c:pt idx="2">
                  <c:v>2</c:v>
                </c:pt>
                <c:pt idx="3">
                  <c:v>2</c:v>
                </c:pt>
              </c:numCache>
            </c:numRef>
          </c:val>
          <c:extLst>
            <c:ext xmlns:c16="http://schemas.microsoft.com/office/drawing/2014/chart" uri="{C3380CC4-5D6E-409C-BE32-E72D297353CC}">
              <c16:uniqueId val="{00000007-6E10-4F61-BDFC-D7A58D3BF1D7}"/>
            </c:ext>
          </c:extLst>
        </c:ser>
        <c:ser>
          <c:idx val="3"/>
          <c:order val="3"/>
          <c:tx>
            <c:strRef>
              <c:f>'Pivot table'!$E$39:$E$40</c:f>
              <c:strCache>
                <c:ptCount val="1"/>
                <c:pt idx="0">
                  <c:v>Marketing</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multiLvlStrRef>
              <c:f>'Pivot table'!$A$41:$A$46</c:f>
              <c:multiLvlStrCache>
                <c:ptCount val="4"/>
                <c:lvl>
                  <c:pt idx="0">
                    <c:v>Qtr1</c:v>
                  </c:pt>
                  <c:pt idx="1">
                    <c:v>Qtr2</c:v>
                  </c:pt>
                  <c:pt idx="2">
                    <c:v>Qtr3</c:v>
                  </c:pt>
                  <c:pt idx="3">
                    <c:v>Qtr4</c:v>
                  </c:pt>
                </c:lvl>
                <c:lvl>
                  <c:pt idx="0">
                    <c:v>2015</c:v>
                  </c:pt>
                </c:lvl>
              </c:multiLvlStrCache>
            </c:multiLvlStrRef>
          </c:cat>
          <c:val>
            <c:numRef>
              <c:f>'Pivot table'!$E$41:$E$46</c:f>
              <c:numCache>
                <c:formatCode>General</c:formatCode>
                <c:ptCount val="4"/>
                <c:pt idx="0">
                  <c:v>1</c:v>
                </c:pt>
                <c:pt idx="1">
                  <c:v>5</c:v>
                </c:pt>
                <c:pt idx="2">
                  <c:v>3</c:v>
                </c:pt>
                <c:pt idx="3">
                  <c:v>2</c:v>
                </c:pt>
              </c:numCache>
            </c:numRef>
          </c:val>
          <c:extLst>
            <c:ext xmlns:c16="http://schemas.microsoft.com/office/drawing/2014/chart" uri="{C3380CC4-5D6E-409C-BE32-E72D297353CC}">
              <c16:uniqueId val="{00000008-6E10-4F61-BDFC-D7A58D3BF1D7}"/>
            </c:ext>
          </c:extLst>
        </c:ser>
        <c:ser>
          <c:idx val="4"/>
          <c:order val="4"/>
          <c:tx>
            <c:strRef>
              <c:f>'Pivot table'!$F$39:$F$40</c:f>
              <c:strCache>
                <c:ptCount val="1"/>
                <c:pt idx="0">
                  <c:v>Sales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multiLvlStrRef>
              <c:f>'Pivot table'!$A$41:$A$46</c:f>
              <c:multiLvlStrCache>
                <c:ptCount val="4"/>
                <c:lvl>
                  <c:pt idx="0">
                    <c:v>Qtr1</c:v>
                  </c:pt>
                  <c:pt idx="1">
                    <c:v>Qtr2</c:v>
                  </c:pt>
                  <c:pt idx="2">
                    <c:v>Qtr3</c:v>
                  </c:pt>
                  <c:pt idx="3">
                    <c:v>Qtr4</c:v>
                  </c:pt>
                </c:lvl>
                <c:lvl>
                  <c:pt idx="0">
                    <c:v>2015</c:v>
                  </c:pt>
                </c:lvl>
              </c:multiLvlStrCache>
            </c:multiLvlStrRef>
          </c:cat>
          <c:val>
            <c:numRef>
              <c:f>'Pivot table'!$F$41:$F$46</c:f>
              <c:numCache>
                <c:formatCode>General</c:formatCode>
                <c:ptCount val="4"/>
                <c:pt idx="0">
                  <c:v>2</c:v>
                </c:pt>
                <c:pt idx="2">
                  <c:v>2</c:v>
                </c:pt>
                <c:pt idx="3">
                  <c:v>1</c:v>
                </c:pt>
              </c:numCache>
            </c:numRef>
          </c:val>
          <c:extLst>
            <c:ext xmlns:c16="http://schemas.microsoft.com/office/drawing/2014/chart" uri="{C3380CC4-5D6E-409C-BE32-E72D297353CC}">
              <c16:uniqueId val="{00000009-6E10-4F61-BDFC-D7A58D3BF1D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21.xlsx]Pivot table!PivotTable13</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222222222222221E-2"/>
          <c:y val="0.17953484981044035"/>
          <c:w val="0.59513888888888888"/>
          <c:h val="0.71500437445319331"/>
        </c:manualLayout>
      </c:layout>
      <c:pie3DChart>
        <c:varyColors val="1"/>
        <c:ser>
          <c:idx val="0"/>
          <c:order val="0"/>
          <c:tx>
            <c:strRef>
              <c:f>'Pivot table'!$B$58:$B$59</c:f>
              <c:strCache>
                <c:ptCount val="1"/>
                <c:pt idx="0">
                  <c:v>Finance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multiLvlStrRef>
              <c:f>'Pivot table'!$A$60:$A$65</c:f>
              <c:multiLvlStrCache>
                <c:ptCount val="4"/>
                <c:lvl>
                  <c:pt idx="0">
                    <c:v>Qtr1</c:v>
                  </c:pt>
                  <c:pt idx="1">
                    <c:v>Qtr2</c:v>
                  </c:pt>
                  <c:pt idx="2">
                    <c:v>Qtr3</c:v>
                  </c:pt>
                  <c:pt idx="3">
                    <c:v>Qtr4</c:v>
                  </c:pt>
                </c:lvl>
                <c:lvl>
                  <c:pt idx="0">
                    <c:v>2016</c:v>
                  </c:pt>
                </c:lvl>
              </c:multiLvlStrCache>
            </c:multiLvlStrRef>
          </c:cat>
          <c:val>
            <c:numRef>
              <c:f>'Pivot table'!$B$60:$B$65</c:f>
              <c:numCache>
                <c:formatCode>General</c:formatCode>
                <c:ptCount val="4"/>
                <c:pt idx="1">
                  <c:v>2</c:v>
                </c:pt>
                <c:pt idx="2">
                  <c:v>2</c:v>
                </c:pt>
                <c:pt idx="3">
                  <c:v>2</c:v>
                </c:pt>
              </c:numCache>
            </c:numRef>
          </c:val>
          <c:extLst>
            <c:ext xmlns:c16="http://schemas.microsoft.com/office/drawing/2014/chart" uri="{C3380CC4-5D6E-409C-BE32-E72D297353CC}">
              <c16:uniqueId val="{0000000A-2FCE-4696-882D-93C875F8B6CF}"/>
            </c:ext>
          </c:extLst>
        </c:ser>
        <c:ser>
          <c:idx val="1"/>
          <c:order val="1"/>
          <c:tx>
            <c:strRef>
              <c:f>'Pivot table'!$C$58:$C$59</c:f>
              <c:strCache>
                <c:ptCount val="1"/>
                <c:pt idx="0">
                  <c:v>HR</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multiLvlStrRef>
              <c:f>'Pivot table'!$A$60:$A$65</c:f>
              <c:multiLvlStrCache>
                <c:ptCount val="4"/>
                <c:lvl>
                  <c:pt idx="0">
                    <c:v>Qtr1</c:v>
                  </c:pt>
                  <c:pt idx="1">
                    <c:v>Qtr2</c:v>
                  </c:pt>
                  <c:pt idx="2">
                    <c:v>Qtr3</c:v>
                  </c:pt>
                  <c:pt idx="3">
                    <c:v>Qtr4</c:v>
                  </c:pt>
                </c:lvl>
                <c:lvl>
                  <c:pt idx="0">
                    <c:v>2016</c:v>
                  </c:pt>
                </c:lvl>
              </c:multiLvlStrCache>
            </c:multiLvlStrRef>
          </c:cat>
          <c:val>
            <c:numRef>
              <c:f>'Pivot table'!$C$60:$C$65</c:f>
              <c:numCache>
                <c:formatCode>General</c:formatCode>
                <c:ptCount val="4"/>
                <c:pt idx="0">
                  <c:v>1</c:v>
                </c:pt>
                <c:pt idx="3">
                  <c:v>2</c:v>
                </c:pt>
              </c:numCache>
            </c:numRef>
          </c:val>
          <c:extLst>
            <c:ext xmlns:c16="http://schemas.microsoft.com/office/drawing/2014/chart" uri="{C3380CC4-5D6E-409C-BE32-E72D297353CC}">
              <c16:uniqueId val="{0000000B-2FCE-4696-882D-93C875F8B6CF}"/>
            </c:ext>
          </c:extLst>
        </c:ser>
        <c:ser>
          <c:idx val="2"/>
          <c:order val="2"/>
          <c:tx>
            <c:strRef>
              <c:f>'Pivot table'!$D$58:$D$59</c:f>
              <c:strCache>
                <c:ptCount val="1"/>
                <c:pt idx="0">
                  <c:v>IT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multiLvlStrRef>
              <c:f>'Pivot table'!$A$60:$A$65</c:f>
              <c:multiLvlStrCache>
                <c:ptCount val="4"/>
                <c:lvl>
                  <c:pt idx="0">
                    <c:v>Qtr1</c:v>
                  </c:pt>
                  <c:pt idx="1">
                    <c:v>Qtr2</c:v>
                  </c:pt>
                  <c:pt idx="2">
                    <c:v>Qtr3</c:v>
                  </c:pt>
                  <c:pt idx="3">
                    <c:v>Qtr4</c:v>
                  </c:pt>
                </c:lvl>
                <c:lvl>
                  <c:pt idx="0">
                    <c:v>2016</c:v>
                  </c:pt>
                </c:lvl>
              </c:multiLvlStrCache>
            </c:multiLvlStrRef>
          </c:cat>
          <c:val>
            <c:numRef>
              <c:f>'Pivot table'!$D$60:$D$65</c:f>
              <c:numCache>
                <c:formatCode>General</c:formatCode>
                <c:ptCount val="4"/>
                <c:pt idx="0">
                  <c:v>2</c:v>
                </c:pt>
                <c:pt idx="2">
                  <c:v>4</c:v>
                </c:pt>
                <c:pt idx="3">
                  <c:v>2</c:v>
                </c:pt>
              </c:numCache>
            </c:numRef>
          </c:val>
          <c:extLst>
            <c:ext xmlns:c16="http://schemas.microsoft.com/office/drawing/2014/chart" uri="{C3380CC4-5D6E-409C-BE32-E72D297353CC}">
              <c16:uniqueId val="{0000000C-2FCE-4696-882D-93C875F8B6CF}"/>
            </c:ext>
          </c:extLst>
        </c:ser>
        <c:ser>
          <c:idx val="3"/>
          <c:order val="3"/>
          <c:tx>
            <c:strRef>
              <c:f>'Pivot table'!$E$58:$E$59</c:f>
              <c:strCache>
                <c:ptCount val="1"/>
                <c:pt idx="0">
                  <c:v>Marketing</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multiLvlStrRef>
              <c:f>'Pivot table'!$A$60:$A$65</c:f>
              <c:multiLvlStrCache>
                <c:ptCount val="4"/>
                <c:lvl>
                  <c:pt idx="0">
                    <c:v>Qtr1</c:v>
                  </c:pt>
                  <c:pt idx="1">
                    <c:v>Qtr2</c:v>
                  </c:pt>
                  <c:pt idx="2">
                    <c:v>Qtr3</c:v>
                  </c:pt>
                  <c:pt idx="3">
                    <c:v>Qtr4</c:v>
                  </c:pt>
                </c:lvl>
                <c:lvl>
                  <c:pt idx="0">
                    <c:v>2016</c:v>
                  </c:pt>
                </c:lvl>
              </c:multiLvlStrCache>
            </c:multiLvlStrRef>
          </c:cat>
          <c:val>
            <c:numRef>
              <c:f>'Pivot table'!$E$60:$E$65</c:f>
              <c:numCache>
                <c:formatCode>General</c:formatCode>
                <c:ptCount val="4"/>
                <c:pt idx="0">
                  <c:v>3</c:v>
                </c:pt>
                <c:pt idx="1">
                  <c:v>3</c:v>
                </c:pt>
                <c:pt idx="2">
                  <c:v>4</c:v>
                </c:pt>
                <c:pt idx="3">
                  <c:v>3</c:v>
                </c:pt>
              </c:numCache>
            </c:numRef>
          </c:val>
          <c:extLst>
            <c:ext xmlns:c16="http://schemas.microsoft.com/office/drawing/2014/chart" uri="{C3380CC4-5D6E-409C-BE32-E72D297353CC}">
              <c16:uniqueId val="{0000000D-2FCE-4696-882D-93C875F8B6CF}"/>
            </c:ext>
          </c:extLst>
        </c:ser>
        <c:ser>
          <c:idx val="4"/>
          <c:order val="4"/>
          <c:tx>
            <c:strRef>
              <c:f>'Pivot table'!$F$58:$F$59</c:f>
              <c:strCache>
                <c:ptCount val="1"/>
                <c:pt idx="0">
                  <c:v>Sales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multiLvlStrRef>
              <c:f>'Pivot table'!$A$60:$A$65</c:f>
              <c:multiLvlStrCache>
                <c:ptCount val="4"/>
                <c:lvl>
                  <c:pt idx="0">
                    <c:v>Qtr1</c:v>
                  </c:pt>
                  <c:pt idx="1">
                    <c:v>Qtr2</c:v>
                  </c:pt>
                  <c:pt idx="2">
                    <c:v>Qtr3</c:v>
                  </c:pt>
                  <c:pt idx="3">
                    <c:v>Qtr4</c:v>
                  </c:pt>
                </c:lvl>
                <c:lvl>
                  <c:pt idx="0">
                    <c:v>2016</c:v>
                  </c:pt>
                </c:lvl>
              </c:multiLvlStrCache>
            </c:multiLvlStrRef>
          </c:cat>
          <c:val>
            <c:numRef>
              <c:f>'Pivot table'!$F$60:$F$65</c:f>
              <c:numCache>
                <c:formatCode>General</c:formatCode>
                <c:ptCount val="4"/>
                <c:pt idx="0">
                  <c:v>1</c:v>
                </c:pt>
                <c:pt idx="1">
                  <c:v>2</c:v>
                </c:pt>
                <c:pt idx="2">
                  <c:v>4</c:v>
                </c:pt>
              </c:numCache>
            </c:numRef>
          </c:val>
          <c:extLst>
            <c:ext xmlns:c16="http://schemas.microsoft.com/office/drawing/2014/chart" uri="{C3380CC4-5D6E-409C-BE32-E72D297353CC}">
              <c16:uniqueId val="{0000000E-2FCE-4696-882D-93C875F8B6C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Joining in 2017</a:t>
            </a:r>
            <a:endParaRPr lang="en-US"/>
          </a:p>
        </c:rich>
      </c:tx>
      <c:layout>
        <c:manualLayout>
          <c:xMode val="edge"/>
          <c:yMode val="edge"/>
          <c:x val="0.26395822397200353"/>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Finance</c:v>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Lit>
              <c:ptCount val="4"/>
              <c:pt idx="0">
                <c:v>2017 Qtr1</c:v>
              </c:pt>
              <c:pt idx="1">
                <c:v>2017 Qtr2</c:v>
              </c:pt>
              <c:pt idx="2">
                <c:v>2017 Qtr3</c:v>
              </c:pt>
              <c:pt idx="3">
                <c:v>2017 Qtr4</c:v>
              </c:pt>
            </c:strLit>
          </c:cat>
          <c:val>
            <c:numLit>
              <c:formatCode>General</c:formatCode>
              <c:ptCount val="4"/>
              <c:pt idx="0">
                <c:v>0</c:v>
              </c:pt>
              <c:pt idx="1">
                <c:v>1</c:v>
              </c:pt>
              <c:pt idx="2">
                <c:v>0</c:v>
              </c:pt>
              <c:pt idx="3">
                <c:v>0</c:v>
              </c:pt>
            </c:numLit>
          </c:val>
          <c:extLst>
            <c:ext xmlns:c16="http://schemas.microsoft.com/office/drawing/2014/chart" uri="{C3380CC4-5D6E-409C-BE32-E72D297353CC}">
              <c16:uniqueId val="{00000000-44BE-4DD6-9571-686F1549D1AE}"/>
            </c:ext>
          </c:extLst>
        </c:ser>
        <c:ser>
          <c:idx val="1"/>
          <c:order val="1"/>
          <c:tx>
            <c:v>Series2</c:v>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Lit>
              <c:ptCount val="4"/>
              <c:pt idx="0">
                <c:v>2017 Qtr1</c:v>
              </c:pt>
              <c:pt idx="1">
                <c:v>2017 Qtr2</c:v>
              </c:pt>
              <c:pt idx="2">
                <c:v>2017 Qtr3</c:v>
              </c:pt>
              <c:pt idx="3">
                <c:v>2017 Qtr4</c:v>
              </c:pt>
            </c:strLit>
          </c:cat>
          <c:val>
            <c:numLit>
              <c:formatCode>General</c:formatCode>
              <c:ptCount val="4"/>
              <c:pt idx="0">
                <c:v>1</c:v>
              </c:pt>
              <c:pt idx="1">
                <c:v>0</c:v>
              </c:pt>
              <c:pt idx="2">
                <c:v>2</c:v>
              </c:pt>
              <c:pt idx="3">
                <c:v>0</c:v>
              </c:pt>
            </c:numLit>
          </c:val>
          <c:extLst>
            <c:ext xmlns:c16="http://schemas.microsoft.com/office/drawing/2014/chart" uri="{C3380CC4-5D6E-409C-BE32-E72D297353CC}">
              <c16:uniqueId val="{00000001-44BE-4DD6-9571-686F1549D1AE}"/>
            </c:ext>
          </c:extLst>
        </c:ser>
        <c:ser>
          <c:idx val="2"/>
          <c:order val="2"/>
          <c:tx>
            <c:v>Series3</c:v>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Lit>
              <c:ptCount val="4"/>
              <c:pt idx="0">
                <c:v>2017 Qtr1</c:v>
              </c:pt>
              <c:pt idx="1">
                <c:v>2017 Qtr2</c:v>
              </c:pt>
              <c:pt idx="2">
                <c:v>2017 Qtr3</c:v>
              </c:pt>
              <c:pt idx="3">
                <c:v>2017 Qtr4</c:v>
              </c:pt>
            </c:strLit>
          </c:cat>
          <c:val>
            <c:numLit>
              <c:formatCode>General</c:formatCode>
              <c:ptCount val="4"/>
              <c:pt idx="0">
                <c:v>2</c:v>
              </c:pt>
              <c:pt idx="1">
                <c:v>1</c:v>
              </c:pt>
              <c:pt idx="2">
                <c:v>0</c:v>
              </c:pt>
              <c:pt idx="3">
                <c:v>0</c:v>
              </c:pt>
            </c:numLit>
          </c:val>
          <c:extLst>
            <c:ext xmlns:c16="http://schemas.microsoft.com/office/drawing/2014/chart" uri="{C3380CC4-5D6E-409C-BE32-E72D297353CC}">
              <c16:uniqueId val="{00000002-44BE-4DD6-9571-686F1549D1AE}"/>
            </c:ext>
          </c:extLst>
        </c:ser>
        <c:ser>
          <c:idx val="3"/>
          <c:order val="3"/>
          <c:tx>
            <c:v>Series4</c:v>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Lit>
              <c:ptCount val="4"/>
              <c:pt idx="0">
                <c:v>2017 Qtr1</c:v>
              </c:pt>
              <c:pt idx="1">
                <c:v>2017 Qtr2</c:v>
              </c:pt>
              <c:pt idx="2">
                <c:v>2017 Qtr3</c:v>
              </c:pt>
              <c:pt idx="3">
                <c:v>2017 Qtr4</c:v>
              </c:pt>
            </c:strLit>
          </c:cat>
          <c:val>
            <c:numLit>
              <c:formatCode>General</c:formatCode>
              <c:ptCount val="4"/>
              <c:pt idx="0">
                <c:v>1</c:v>
              </c:pt>
              <c:pt idx="1">
                <c:v>2</c:v>
              </c:pt>
              <c:pt idx="2">
                <c:v>0</c:v>
              </c:pt>
              <c:pt idx="3">
                <c:v>2</c:v>
              </c:pt>
            </c:numLit>
          </c:val>
          <c:extLst>
            <c:ext xmlns:c16="http://schemas.microsoft.com/office/drawing/2014/chart" uri="{C3380CC4-5D6E-409C-BE32-E72D297353CC}">
              <c16:uniqueId val="{00000003-44BE-4DD6-9571-686F1549D1AE}"/>
            </c:ext>
          </c:extLst>
        </c:ser>
        <c:ser>
          <c:idx val="4"/>
          <c:order val="4"/>
          <c:tx>
            <c:v>Series5</c:v>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Lit>
              <c:ptCount val="4"/>
              <c:pt idx="0">
                <c:v>2017 Qtr1</c:v>
              </c:pt>
              <c:pt idx="1">
                <c:v>2017 Qtr2</c:v>
              </c:pt>
              <c:pt idx="2">
                <c:v>2017 Qtr3</c:v>
              </c:pt>
              <c:pt idx="3">
                <c:v>2017 Qtr4</c:v>
              </c:pt>
            </c:strLit>
          </c:cat>
          <c:val>
            <c:numLit>
              <c:formatCode>General</c:formatCode>
              <c:ptCount val="4"/>
              <c:pt idx="0">
                <c:v>0</c:v>
              </c:pt>
              <c:pt idx="1">
                <c:v>4</c:v>
              </c:pt>
              <c:pt idx="2">
                <c:v>0</c:v>
              </c:pt>
              <c:pt idx="3">
                <c:v>2</c:v>
              </c:pt>
            </c:numLit>
          </c:val>
          <c:extLst>
            <c:ext xmlns:c16="http://schemas.microsoft.com/office/drawing/2014/chart" uri="{C3380CC4-5D6E-409C-BE32-E72D297353CC}">
              <c16:uniqueId val="{00000004-44BE-4DD6-9571-686F1549D1A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Finance</c:v>
          </c:tx>
          <c:spPr>
            <a:solidFill>
              <a:schemeClr val="accent1"/>
            </a:solidFill>
            <a:ln>
              <a:noFill/>
            </a:ln>
            <a:effectLst/>
          </c:spPr>
          <c:invertIfNegative val="0"/>
          <c:cat>
            <c:strLit>
              <c:ptCount val="5"/>
              <c:pt idx="0">
                <c:v>Australia</c:v>
              </c:pt>
              <c:pt idx="1">
                <c:v>Germany</c:v>
              </c:pt>
              <c:pt idx="2">
                <c:v>India</c:v>
              </c:pt>
              <c:pt idx="3">
                <c:v>UK</c:v>
              </c:pt>
              <c:pt idx="4">
                <c:v>USA</c:v>
              </c:pt>
            </c:strLit>
          </c:cat>
          <c:val>
            <c:numLit>
              <c:formatCode>General</c:formatCode>
              <c:ptCount val="5"/>
              <c:pt idx="0">
                <c:v>68721</c:v>
              </c:pt>
              <c:pt idx="1">
                <c:v>63184</c:v>
              </c:pt>
              <c:pt idx="2">
                <c:v>63813.428571428572</c:v>
              </c:pt>
              <c:pt idx="3">
                <c:v>68043</c:v>
              </c:pt>
              <c:pt idx="4">
                <c:v>72939</c:v>
              </c:pt>
            </c:numLit>
          </c:val>
          <c:extLst>
            <c:ext xmlns:c16="http://schemas.microsoft.com/office/drawing/2014/chart" uri="{C3380CC4-5D6E-409C-BE32-E72D297353CC}">
              <c16:uniqueId val="{00000000-B9D2-4E73-A955-DA85E2D0E722}"/>
            </c:ext>
          </c:extLst>
        </c:ser>
        <c:ser>
          <c:idx val="1"/>
          <c:order val="1"/>
          <c:tx>
            <c:v>HR</c:v>
          </c:tx>
          <c:spPr>
            <a:solidFill>
              <a:schemeClr val="accent2"/>
            </a:solidFill>
            <a:ln>
              <a:noFill/>
            </a:ln>
            <a:effectLst/>
          </c:spPr>
          <c:invertIfNegative val="0"/>
          <c:cat>
            <c:strLit>
              <c:ptCount val="5"/>
              <c:pt idx="0">
                <c:v>Australia</c:v>
              </c:pt>
              <c:pt idx="1">
                <c:v>Germany</c:v>
              </c:pt>
              <c:pt idx="2">
                <c:v>India</c:v>
              </c:pt>
              <c:pt idx="3">
                <c:v>UK</c:v>
              </c:pt>
              <c:pt idx="4">
                <c:v>USA</c:v>
              </c:pt>
            </c:strLit>
          </c:cat>
          <c:val>
            <c:numLit>
              <c:formatCode>General</c:formatCode>
              <c:ptCount val="5"/>
              <c:pt idx="0">
                <c:v>0</c:v>
              </c:pt>
              <c:pt idx="1">
                <c:v>72590.2</c:v>
              </c:pt>
              <c:pt idx="2">
                <c:v>74034</c:v>
              </c:pt>
              <c:pt idx="3">
                <c:v>63117.333333333336</c:v>
              </c:pt>
              <c:pt idx="4">
                <c:v>47166.333333333336</c:v>
              </c:pt>
            </c:numLit>
          </c:val>
          <c:extLst>
            <c:ext xmlns:c16="http://schemas.microsoft.com/office/drawing/2014/chart" uri="{C3380CC4-5D6E-409C-BE32-E72D297353CC}">
              <c16:uniqueId val="{00000001-B9D2-4E73-A955-DA85E2D0E722}"/>
            </c:ext>
          </c:extLst>
        </c:ser>
        <c:ser>
          <c:idx val="2"/>
          <c:order val="2"/>
          <c:tx>
            <c:v>IT</c:v>
          </c:tx>
          <c:spPr>
            <a:solidFill>
              <a:schemeClr val="accent3"/>
            </a:solidFill>
            <a:ln>
              <a:noFill/>
            </a:ln>
            <a:effectLst/>
          </c:spPr>
          <c:invertIfNegative val="0"/>
          <c:cat>
            <c:strLit>
              <c:ptCount val="5"/>
              <c:pt idx="0">
                <c:v>Australia</c:v>
              </c:pt>
              <c:pt idx="1">
                <c:v>Germany</c:v>
              </c:pt>
              <c:pt idx="2">
                <c:v>India</c:v>
              </c:pt>
              <c:pt idx="3">
                <c:v>UK</c:v>
              </c:pt>
              <c:pt idx="4">
                <c:v>USA</c:v>
              </c:pt>
            </c:strLit>
          </c:cat>
          <c:val>
            <c:numLit>
              <c:formatCode>General</c:formatCode>
              <c:ptCount val="5"/>
              <c:pt idx="0">
                <c:v>70470</c:v>
              </c:pt>
              <c:pt idx="1">
                <c:v>74846</c:v>
              </c:pt>
              <c:pt idx="2">
                <c:v>61767.625</c:v>
              </c:pt>
              <c:pt idx="3">
                <c:v>60563.666666666664</c:v>
              </c:pt>
              <c:pt idx="4">
                <c:v>73723.5</c:v>
              </c:pt>
            </c:numLit>
          </c:val>
          <c:extLst>
            <c:ext xmlns:c16="http://schemas.microsoft.com/office/drawing/2014/chart" uri="{C3380CC4-5D6E-409C-BE32-E72D297353CC}">
              <c16:uniqueId val="{00000002-B9D2-4E73-A955-DA85E2D0E722}"/>
            </c:ext>
          </c:extLst>
        </c:ser>
        <c:ser>
          <c:idx val="3"/>
          <c:order val="3"/>
          <c:tx>
            <c:v>Marketing</c:v>
          </c:tx>
          <c:spPr>
            <a:solidFill>
              <a:schemeClr val="accent4"/>
            </a:solidFill>
            <a:ln>
              <a:noFill/>
            </a:ln>
            <a:effectLst/>
          </c:spPr>
          <c:invertIfNegative val="0"/>
          <c:cat>
            <c:strLit>
              <c:ptCount val="5"/>
              <c:pt idx="0">
                <c:v>Australia</c:v>
              </c:pt>
              <c:pt idx="1">
                <c:v>Germany</c:v>
              </c:pt>
              <c:pt idx="2">
                <c:v>India</c:v>
              </c:pt>
              <c:pt idx="3">
                <c:v>UK</c:v>
              </c:pt>
              <c:pt idx="4">
                <c:v>USA</c:v>
              </c:pt>
            </c:strLit>
          </c:cat>
          <c:val>
            <c:numLit>
              <c:formatCode>General</c:formatCode>
              <c:ptCount val="5"/>
              <c:pt idx="0">
                <c:v>65534.666666666664</c:v>
              </c:pt>
              <c:pt idx="1">
                <c:v>76015</c:v>
              </c:pt>
              <c:pt idx="2">
                <c:v>70535.833333333328</c:v>
              </c:pt>
              <c:pt idx="3">
                <c:v>67435.166666666672</c:v>
              </c:pt>
              <c:pt idx="4">
                <c:v>80316.2</c:v>
              </c:pt>
            </c:numLit>
          </c:val>
          <c:extLst>
            <c:ext xmlns:c16="http://schemas.microsoft.com/office/drawing/2014/chart" uri="{C3380CC4-5D6E-409C-BE32-E72D297353CC}">
              <c16:uniqueId val="{00000003-B9D2-4E73-A955-DA85E2D0E722}"/>
            </c:ext>
          </c:extLst>
        </c:ser>
        <c:ser>
          <c:idx val="4"/>
          <c:order val="4"/>
          <c:tx>
            <c:v>Sales</c:v>
          </c:tx>
          <c:spPr>
            <a:solidFill>
              <a:schemeClr val="accent5"/>
            </a:solidFill>
            <a:ln>
              <a:noFill/>
            </a:ln>
            <a:effectLst/>
          </c:spPr>
          <c:invertIfNegative val="0"/>
          <c:cat>
            <c:strLit>
              <c:ptCount val="5"/>
              <c:pt idx="0">
                <c:v>Australia</c:v>
              </c:pt>
              <c:pt idx="1">
                <c:v>Germany</c:v>
              </c:pt>
              <c:pt idx="2">
                <c:v>India</c:v>
              </c:pt>
              <c:pt idx="3">
                <c:v>UK</c:v>
              </c:pt>
              <c:pt idx="4">
                <c:v>USA</c:v>
              </c:pt>
            </c:strLit>
          </c:cat>
          <c:val>
            <c:numLit>
              <c:formatCode>General</c:formatCode>
              <c:ptCount val="5"/>
              <c:pt idx="0">
                <c:v>68276.666666666672</c:v>
              </c:pt>
              <c:pt idx="1">
                <c:v>64224.666666666664</c:v>
              </c:pt>
              <c:pt idx="2">
                <c:v>70575.5</c:v>
              </c:pt>
              <c:pt idx="3">
                <c:v>91620</c:v>
              </c:pt>
              <c:pt idx="4">
                <c:v>66436.800000000003</c:v>
              </c:pt>
            </c:numLit>
          </c:val>
          <c:extLst>
            <c:ext xmlns:c16="http://schemas.microsoft.com/office/drawing/2014/chart" uri="{C3380CC4-5D6E-409C-BE32-E72D297353CC}">
              <c16:uniqueId val="{00000004-B9D2-4E73-A955-DA85E2D0E722}"/>
            </c:ext>
          </c:extLst>
        </c:ser>
        <c:dLbls>
          <c:showLegendKey val="0"/>
          <c:showVal val="0"/>
          <c:showCatName val="0"/>
          <c:showSerName val="0"/>
          <c:showPercent val="0"/>
          <c:showBubbleSize val="0"/>
        </c:dLbls>
        <c:gapWidth val="182"/>
        <c:axId val="1414466143"/>
        <c:axId val="1414468063"/>
      </c:barChart>
      <c:catAx>
        <c:axId val="141446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468063"/>
        <c:crosses val="autoZero"/>
        <c:auto val="1"/>
        <c:lblAlgn val="ctr"/>
        <c:lblOffset val="100"/>
        <c:noMultiLvlLbl val="0"/>
      </c:catAx>
      <c:valAx>
        <c:axId val="1414468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46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21.xlsx]Pivot table!PivotTable15</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table'!$B$108:$B$109</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table'!$A$110:$A$115</c:f>
              <c:strCache>
                <c:ptCount val="5"/>
                <c:pt idx="0">
                  <c:v>Finance</c:v>
                </c:pt>
                <c:pt idx="1">
                  <c:v>HR</c:v>
                </c:pt>
                <c:pt idx="2">
                  <c:v>IT</c:v>
                </c:pt>
                <c:pt idx="3">
                  <c:v>Marketing</c:v>
                </c:pt>
                <c:pt idx="4">
                  <c:v>Sales</c:v>
                </c:pt>
              </c:strCache>
            </c:strRef>
          </c:cat>
          <c:val>
            <c:numRef>
              <c:f>'Pivot table'!$B$110:$B$115</c:f>
              <c:numCache>
                <c:formatCode>General</c:formatCode>
                <c:ptCount val="5"/>
                <c:pt idx="0">
                  <c:v>5</c:v>
                </c:pt>
                <c:pt idx="1">
                  <c:v>3</c:v>
                </c:pt>
                <c:pt idx="2">
                  <c:v>4</c:v>
                </c:pt>
                <c:pt idx="3">
                  <c:v>5</c:v>
                </c:pt>
                <c:pt idx="4">
                  <c:v>6</c:v>
                </c:pt>
              </c:numCache>
            </c:numRef>
          </c:val>
          <c:smooth val="0"/>
          <c:extLst>
            <c:ext xmlns:c16="http://schemas.microsoft.com/office/drawing/2014/chart" uri="{C3380CC4-5D6E-409C-BE32-E72D297353CC}">
              <c16:uniqueId val="{00000000-A936-43C2-8FC6-E9F3C35CBEBB}"/>
            </c:ext>
          </c:extLst>
        </c:ser>
        <c:ser>
          <c:idx val="1"/>
          <c:order val="1"/>
          <c:tx>
            <c:strRef>
              <c:f>'Pivot table'!$C$108:$C$109</c:f>
              <c:strCache>
                <c:ptCount val="1"/>
                <c:pt idx="0">
                  <c:v>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table'!$A$110:$A$115</c:f>
              <c:strCache>
                <c:ptCount val="5"/>
                <c:pt idx="0">
                  <c:v>Finance</c:v>
                </c:pt>
                <c:pt idx="1">
                  <c:v>HR</c:v>
                </c:pt>
                <c:pt idx="2">
                  <c:v>IT</c:v>
                </c:pt>
                <c:pt idx="3">
                  <c:v>Marketing</c:v>
                </c:pt>
                <c:pt idx="4">
                  <c:v>Sales</c:v>
                </c:pt>
              </c:strCache>
            </c:strRef>
          </c:cat>
          <c:val>
            <c:numRef>
              <c:f>'Pivot table'!$C$110:$C$115</c:f>
              <c:numCache>
                <c:formatCode>General</c:formatCode>
                <c:ptCount val="5"/>
                <c:pt idx="0">
                  <c:v>1</c:v>
                </c:pt>
                <c:pt idx="1">
                  <c:v>4</c:v>
                </c:pt>
                <c:pt idx="2">
                  <c:v>1</c:v>
                </c:pt>
                <c:pt idx="3">
                  <c:v>5</c:v>
                </c:pt>
                <c:pt idx="4">
                  <c:v>4</c:v>
                </c:pt>
              </c:numCache>
            </c:numRef>
          </c:val>
          <c:smooth val="0"/>
          <c:extLst>
            <c:ext xmlns:c16="http://schemas.microsoft.com/office/drawing/2014/chart" uri="{C3380CC4-5D6E-409C-BE32-E72D297353CC}">
              <c16:uniqueId val="{00000001-A936-43C2-8FC6-E9F3C35CBEBB}"/>
            </c:ext>
          </c:extLst>
        </c:ser>
        <c:ser>
          <c:idx val="2"/>
          <c:order val="2"/>
          <c:tx>
            <c:strRef>
              <c:f>'Pivot table'!$D$108:$D$109</c:f>
              <c:strCache>
                <c:ptCount val="1"/>
                <c:pt idx="0">
                  <c:v>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table'!$A$110:$A$115</c:f>
              <c:strCache>
                <c:ptCount val="5"/>
                <c:pt idx="0">
                  <c:v>Finance</c:v>
                </c:pt>
                <c:pt idx="1">
                  <c:v>HR</c:v>
                </c:pt>
                <c:pt idx="2">
                  <c:v>IT</c:v>
                </c:pt>
                <c:pt idx="3">
                  <c:v>Marketing</c:v>
                </c:pt>
                <c:pt idx="4">
                  <c:v>Sales</c:v>
                </c:pt>
              </c:strCache>
            </c:strRef>
          </c:cat>
          <c:val>
            <c:numRef>
              <c:f>'Pivot table'!$D$110:$D$115</c:f>
              <c:numCache>
                <c:formatCode>General</c:formatCode>
                <c:ptCount val="5"/>
                <c:pt idx="0">
                  <c:v>3</c:v>
                </c:pt>
                <c:pt idx="1">
                  <c:v>8</c:v>
                </c:pt>
                <c:pt idx="2">
                  <c:v>10</c:v>
                </c:pt>
                <c:pt idx="3">
                  <c:v>8</c:v>
                </c:pt>
                <c:pt idx="4">
                  <c:v>7</c:v>
                </c:pt>
              </c:numCache>
            </c:numRef>
          </c:val>
          <c:smooth val="0"/>
          <c:extLst>
            <c:ext xmlns:c16="http://schemas.microsoft.com/office/drawing/2014/chart" uri="{C3380CC4-5D6E-409C-BE32-E72D297353CC}">
              <c16:uniqueId val="{00000002-A936-43C2-8FC6-E9F3C35CBEBB}"/>
            </c:ext>
          </c:extLst>
        </c:ser>
        <c:ser>
          <c:idx val="3"/>
          <c:order val="3"/>
          <c:tx>
            <c:strRef>
              <c:f>'Pivot table'!$E$108:$E$109</c:f>
              <c:strCache>
                <c:ptCount val="1"/>
                <c:pt idx="0">
                  <c:v>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table'!$A$110:$A$115</c:f>
              <c:strCache>
                <c:ptCount val="5"/>
                <c:pt idx="0">
                  <c:v>Finance</c:v>
                </c:pt>
                <c:pt idx="1">
                  <c:v>HR</c:v>
                </c:pt>
                <c:pt idx="2">
                  <c:v>IT</c:v>
                </c:pt>
                <c:pt idx="3">
                  <c:v>Marketing</c:v>
                </c:pt>
                <c:pt idx="4">
                  <c:v>Sales</c:v>
                </c:pt>
              </c:strCache>
            </c:strRef>
          </c:cat>
          <c:val>
            <c:numRef>
              <c:f>'Pivot table'!$E$110:$E$115</c:f>
              <c:numCache>
                <c:formatCode>General</c:formatCode>
                <c:ptCount val="5"/>
                <c:pt idx="0">
                  <c:v>2</c:v>
                </c:pt>
                <c:pt idx="1">
                  <c:v>2</c:v>
                </c:pt>
                <c:pt idx="2">
                  <c:v>1</c:v>
                </c:pt>
                <c:pt idx="3">
                  <c:v>3</c:v>
                </c:pt>
              </c:numCache>
            </c:numRef>
          </c:val>
          <c:smooth val="0"/>
          <c:extLst>
            <c:ext xmlns:c16="http://schemas.microsoft.com/office/drawing/2014/chart" uri="{C3380CC4-5D6E-409C-BE32-E72D297353CC}">
              <c16:uniqueId val="{00000003-A936-43C2-8FC6-E9F3C35CBEBB}"/>
            </c:ext>
          </c:extLst>
        </c:ser>
        <c:ser>
          <c:idx val="4"/>
          <c:order val="4"/>
          <c:tx>
            <c:strRef>
              <c:f>'Pivot table'!$F$108:$F$109</c:f>
              <c:strCache>
                <c:ptCount val="1"/>
                <c:pt idx="0">
                  <c:v>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table'!$A$110:$A$115</c:f>
              <c:strCache>
                <c:ptCount val="5"/>
                <c:pt idx="0">
                  <c:v>Finance</c:v>
                </c:pt>
                <c:pt idx="1">
                  <c:v>HR</c:v>
                </c:pt>
                <c:pt idx="2">
                  <c:v>IT</c:v>
                </c:pt>
                <c:pt idx="3">
                  <c:v>Marketing</c:v>
                </c:pt>
                <c:pt idx="4">
                  <c:v>Sales</c:v>
                </c:pt>
              </c:strCache>
            </c:strRef>
          </c:cat>
          <c:val>
            <c:numRef>
              <c:f>'Pivot table'!$F$110:$F$115</c:f>
              <c:numCache>
                <c:formatCode>General</c:formatCode>
                <c:ptCount val="5"/>
                <c:pt idx="0">
                  <c:v>3</c:v>
                </c:pt>
                <c:pt idx="2">
                  <c:v>3</c:v>
                </c:pt>
                <c:pt idx="3">
                  <c:v>8</c:v>
                </c:pt>
                <c:pt idx="4">
                  <c:v>1</c:v>
                </c:pt>
              </c:numCache>
            </c:numRef>
          </c:val>
          <c:smooth val="0"/>
          <c:extLst>
            <c:ext xmlns:c16="http://schemas.microsoft.com/office/drawing/2014/chart" uri="{C3380CC4-5D6E-409C-BE32-E72D297353CC}">
              <c16:uniqueId val="{00000008-A936-43C2-8FC6-E9F3C35CBEBB}"/>
            </c:ext>
          </c:extLst>
        </c:ser>
        <c:dLbls>
          <c:showLegendKey val="0"/>
          <c:showVal val="0"/>
          <c:showCatName val="0"/>
          <c:showSerName val="0"/>
          <c:showPercent val="0"/>
          <c:showBubbleSize val="0"/>
        </c:dLbls>
        <c:marker val="1"/>
        <c:smooth val="0"/>
        <c:axId val="310571584"/>
        <c:axId val="310564864"/>
      </c:lineChart>
      <c:catAx>
        <c:axId val="31057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564864"/>
        <c:crosses val="autoZero"/>
        <c:auto val="1"/>
        <c:lblAlgn val="ctr"/>
        <c:lblOffset val="100"/>
        <c:noMultiLvlLbl val="0"/>
      </c:catAx>
      <c:valAx>
        <c:axId val="31056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57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21.xlsx]Pivot table!PivotTable1</c:name>
    <c:fmtId val="8"/>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Yearwise joining employees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table'!$A$4:$A$7</c:f>
              <c:strCache>
                <c:ptCount val="3"/>
                <c:pt idx="0">
                  <c:v>2015</c:v>
                </c:pt>
                <c:pt idx="1">
                  <c:v>2016</c:v>
                </c:pt>
                <c:pt idx="2">
                  <c:v>2017</c:v>
                </c:pt>
              </c:strCache>
            </c:strRef>
          </c:cat>
          <c:val>
            <c:numRef>
              <c:f>'Pivot table'!$B$4:$B$7</c:f>
              <c:numCache>
                <c:formatCode>General</c:formatCode>
                <c:ptCount val="3"/>
                <c:pt idx="0">
                  <c:v>42</c:v>
                </c:pt>
                <c:pt idx="1">
                  <c:v>37</c:v>
                </c:pt>
                <c:pt idx="2">
                  <c:v>18</c:v>
                </c:pt>
              </c:numCache>
            </c:numRef>
          </c:val>
          <c:extLst>
            <c:ext xmlns:c16="http://schemas.microsoft.com/office/drawing/2014/chart" uri="{C3380CC4-5D6E-409C-BE32-E72D297353CC}">
              <c16:uniqueId val="{00000000-4CBD-470C-952B-39A33AF3A3B4}"/>
            </c:ext>
          </c:extLst>
        </c:ser>
        <c:dLbls>
          <c:showLegendKey val="0"/>
          <c:showVal val="1"/>
          <c:showCatName val="0"/>
          <c:showSerName val="0"/>
          <c:showPercent val="0"/>
          <c:showBubbleSize val="0"/>
        </c:dLbls>
        <c:gapWidth val="84"/>
        <c:gapDepth val="53"/>
        <c:shape val="box"/>
        <c:axId val="1421370239"/>
        <c:axId val="1421369759"/>
        <c:axId val="0"/>
      </c:bar3DChart>
      <c:catAx>
        <c:axId val="1421370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1369759"/>
        <c:crosses val="autoZero"/>
        <c:auto val="1"/>
        <c:lblAlgn val="ctr"/>
        <c:lblOffset val="100"/>
        <c:noMultiLvlLbl val="0"/>
      </c:catAx>
      <c:valAx>
        <c:axId val="1421369759"/>
        <c:scaling>
          <c:orientation val="minMax"/>
        </c:scaling>
        <c:delete val="1"/>
        <c:axPos val="l"/>
        <c:numFmt formatCode="General" sourceLinked="1"/>
        <c:majorTickMark val="out"/>
        <c:minorTickMark val="none"/>
        <c:tickLblPos val="nextTo"/>
        <c:crossAx val="142137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21.xlsx]Pivot table!PivotTable5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table'!$C$22:$C$23</c:f>
              <c:strCache>
                <c:ptCount val="1"/>
                <c:pt idx="0">
                  <c:v>Australia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table'!$B$24:$B$29</c:f>
              <c:strCache>
                <c:ptCount val="5"/>
                <c:pt idx="0">
                  <c:v>Finance</c:v>
                </c:pt>
                <c:pt idx="1">
                  <c:v>HR</c:v>
                </c:pt>
                <c:pt idx="2">
                  <c:v>IT</c:v>
                </c:pt>
                <c:pt idx="3">
                  <c:v>Marketing</c:v>
                </c:pt>
                <c:pt idx="4">
                  <c:v>Sales</c:v>
                </c:pt>
              </c:strCache>
            </c:strRef>
          </c:cat>
          <c:val>
            <c:numRef>
              <c:f>'Pivot table'!$C$24:$C$29</c:f>
              <c:numCache>
                <c:formatCode>General</c:formatCode>
                <c:ptCount val="5"/>
                <c:pt idx="0">
                  <c:v>2</c:v>
                </c:pt>
                <c:pt idx="2">
                  <c:v>1</c:v>
                </c:pt>
                <c:pt idx="3">
                  <c:v>3</c:v>
                </c:pt>
                <c:pt idx="4">
                  <c:v>3</c:v>
                </c:pt>
              </c:numCache>
            </c:numRef>
          </c:val>
          <c:smooth val="0"/>
          <c:extLst>
            <c:ext xmlns:c16="http://schemas.microsoft.com/office/drawing/2014/chart" uri="{C3380CC4-5D6E-409C-BE32-E72D297353CC}">
              <c16:uniqueId val="{00000000-B2A7-4668-B6FF-ED85FF11D59E}"/>
            </c:ext>
          </c:extLst>
        </c:ser>
        <c:ser>
          <c:idx val="1"/>
          <c:order val="1"/>
          <c:tx>
            <c:strRef>
              <c:f>'Pivot table'!$D$22:$D$23</c:f>
              <c:strCache>
                <c:ptCount val="1"/>
                <c:pt idx="0">
                  <c:v>Germany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table'!$B$24:$B$29</c:f>
              <c:strCache>
                <c:ptCount val="5"/>
                <c:pt idx="0">
                  <c:v>Finance</c:v>
                </c:pt>
                <c:pt idx="1">
                  <c:v>HR</c:v>
                </c:pt>
                <c:pt idx="2">
                  <c:v>IT</c:v>
                </c:pt>
                <c:pt idx="3">
                  <c:v>Marketing</c:v>
                </c:pt>
                <c:pt idx="4">
                  <c:v>Sales</c:v>
                </c:pt>
              </c:strCache>
            </c:strRef>
          </c:cat>
          <c:val>
            <c:numRef>
              <c:f>'Pivot table'!$D$24:$D$29</c:f>
              <c:numCache>
                <c:formatCode>General</c:formatCode>
                <c:ptCount val="5"/>
                <c:pt idx="0">
                  <c:v>1</c:v>
                </c:pt>
                <c:pt idx="1">
                  <c:v>5</c:v>
                </c:pt>
                <c:pt idx="2">
                  <c:v>3</c:v>
                </c:pt>
                <c:pt idx="3">
                  <c:v>3</c:v>
                </c:pt>
                <c:pt idx="4">
                  <c:v>3</c:v>
                </c:pt>
              </c:numCache>
            </c:numRef>
          </c:val>
          <c:smooth val="0"/>
          <c:extLst>
            <c:ext xmlns:c16="http://schemas.microsoft.com/office/drawing/2014/chart" uri="{C3380CC4-5D6E-409C-BE32-E72D297353CC}">
              <c16:uniqueId val="{00000001-B2A7-4668-B6FF-ED85FF11D59E}"/>
            </c:ext>
          </c:extLst>
        </c:ser>
        <c:ser>
          <c:idx val="2"/>
          <c:order val="2"/>
          <c:tx>
            <c:strRef>
              <c:f>'Pivot table'!$E$22:$E$23</c:f>
              <c:strCache>
                <c:ptCount val="1"/>
                <c:pt idx="0">
                  <c:v>India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table'!$B$24:$B$29</c:f>
              <c:strCache>
                <c:ptCount val="5"/>
                <c:pt idx="0">
                  <c:v>Finance</c:v>
                </c:pt>
                <c:pt idx="1">
                  <c:v>HR</c:v>
                </c:pt>
                <c:pt idx="2">
                  <c:v>IT</c:v>
                </c:pt>
                <c:pt idx="3">
                  <c:v>Marketing</c:v>
                </c:pt>
                <c:pt idx="4">
                  <c:v>Sales</c:v>
                </c:pt>
              </c:strCache>
            </c:strRef>
          </c:cat>
          <c:val>
            <c:numRef>
              <c:f>'Pivot table'!$E$24:$E$29</c:f>
              <c:numCache>
                <c:formatCode>General</c:formatCode>
                <c:ptCount val="5"/>
                <c:pt idx="0">
                  <c:v>7</c:v>
                </c:pt>
                <c:pt idx="1">
                  <c:v>6</c:v>
                </c:pt>
                <c:pt idx="2">
                  <c:v>8</c:v>
                </c:pt>
                <c:pt idx="3">
                  <c:v>12</c:v>
                </c:pt>
                <c:pt idx="4">
                  <c:v>6</c:v>
                </c:pt>
              </c:numCache>
            </c:numRef>
          </c:val>
          <c:smooth val="0"/>
          <c:extLst>
            <c:ext xmlns:c16="http://schemas.microsoft.com/office/drawing/2014/chart" uri="{C3380CC4-5D6E-409C-BE32-E72D297353CC}">
              <c16:uniqueId val="{00000002-B2A7-4668-B6FF-ED85FF11D59E}"/>
            </c:ext>
          </c:extLst>
        </c:ser>
        <c:ser>
          <c:idx val="3"/>
          <c:order val="3"/>
          <c:tx>
            <c:strRef>
              <c:f>'Pivot table'!$F$22:$F$23</c:f>
              <c:strCache>
                <c:ptCount val="1"/>
                <c:pt idx="0">
                  <c:v>UK</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table'!$B$24:$B$29</c:f>
              <c:strCache>
                <c:ptCount val="5"/>
                <c:pt idx="0">
                  <c:v>Finance</c:v>
                </c:pt>
                <c:pt idx="1">
                  <c:v>HR</c:v>
                </c:pt>
                <c:pt idx="2">
                  <c:v>IT</c:v>
                </c:pt>
                <c:pt idx="3">
                  <c:v>Marketing</c:v>
                </c:pt>
                <c:pt idx="4">
                  <c:v>Sales</c:v>
                </c:pt>
              </c:strCache>
            </c:strRef>
          </c:cat>
          <c:val>
            <c:numRef>
              <c:f>'Pivot table'!$F$24:$F$29</c:f>
              <c:numCache>
                <c:formatCode>General</c:formatCode>
                <c:ptCount val="5"/>
                <c:pt idx="0">
                  <c:v>3</c:v>
                </c:pt>
                <c:pt idx="1">
                  <c:v>3</c:v>
                </c:pt>
                <c:pt idx="2">
                  <c:v>3</c:v>
                </c:pt>
                <c:pt idx="3">
                  <c:v>6</c:v>
                </c:pt>
                <c:pt idx="4">
                  <c:v>1</c:v>
                </c:pt>
              </c:numCache>
            </c:numRef>
          </c:val>
          <c:smooth val="0"/>
          <c:extLst>
            <c:ext xmlns:c16="http://schemas.microsoft.com/office/drawing/2014/chart" uri="{C3380CC4-5D6E-409C-BE32-E72D297353CC}">
              <c16:uniqueId val="{00000003-B2A7-4668-B6FF-ED85FF11D59E}"/>
            </c:ext>
          </c:extLst>
        </c:ser>
        <c:ser>
          <c:idx val="4"/>
          <c:order val="4"/>
          <c:tx>
            <c:strRef>
              <c:f>'Pivot table'!$G$22:$G$23</c:f>
              <c:strCache>
                <c:ptCount val="1"/>
                <c:pt idx="0">
                  <c:v>USA</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table'!$B$24:$B$29</c:f>
              <c:strCache>
                <c:ptCount val="5"/>
                <c:pt idx="0">
                  <c:v>Finance</c:v>
                </c:pt>
                <c:pt idx="1">
                  <c:v>HR</c:v>
                </c:pt>
                <c:pt idx="2">
                  <c:v>IT</c:v>
                </c:pt>
                <c:pt idx="3">
                  <c:v>Marketing</c:v>
                </c:pt>
                <c:pt idx="4">
                  <c:v>Sales</c:v>
                </c:pt>
              </c:strCache>
            </c:strRef>
          </c:cat>
          <c:val>
            <c:numRef>
              <c:f>'Pivot table'!$G$24:$G$29</c:f>
              <c:numCache>
                <c:formatCode>General</c:formatCode>
                <c:ptCount val="5"/>
                <c:pt idx="0">
                  <c:v>1</c:v>
                </c:pt>
                <c:pt idx="1">
                  <c:v>3</c:v>
                </c:pt>
                <c:pt idx="2">
                  <c:v>4</c:v>
                </c:pt>
                <c:pt idx="3">
                  <c:v>5</c:v>
                </c:pt>
                <c:pt idx="4">
                  <c:v>5</c:v>
                </c:pt>
              </c:numCache>
            </c:numRef>
          </c:val>
          <c:smooth val="0"/>
          <c:extLst>
            <c:ext xmlns:c16="http://schemas.microsoft.com/office/drawing/2014/chart" uri="{C3380CC4-5D6E-409C-BE32-E72D297353CC}">
              <c16:uniqueId val="{00000004-B2A7-4668-B6FF-ED85FF11D59E}"/>
            </c:ext>
          </c:extLst>
        </c:ser>
        <c:dLbls>
          <c:showLegendKey val="0"/>
          <c:showVal val="0"/>
          <c:showCatName val="0"/>
          <c:showSerName val="0"/>
          <c:showPercent val="0"/>
          <c:showBubbleSize val="0"/>
        </c:dLbls>
        <c:marker val="1"/>
        <c:smooth val="0"/>
        <c:axId val="193005791"/>
        <c:axId val="193006751"/>
      </c:lineChart>
      <c:catAx>
        <c:axId val="1930057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006751"/>
        <c:crosses val="autoZero"/>
        <c:auto val="1"/>
        <c:lblAlgn val="ctr"/>
        <c:lblOffset val="100"/>
        <c:noMultiLvlLbl val="0"/>
      </c:catAx>
      <c:valAx>
        <c:axId val="1930067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00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21.xlsx]Pivot table!PivotTable8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 Joining in 2015</a:t>
            </a:r>
          </a:p>
        </c:rich>
      </c:tx>
      <c:layout>
        <c:manualLayout>
          <c:xMode val="edge"/>
          <c:yMode val="edge"/>
          <c:x val="0.31951377952755899"/>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table'!$B$39:$B$40</c:f>
              <c:strCache>
                <c:ptCount val="1"/>
                <c:pt idx="0">
                  <c:v>Finance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C66-4F9E-88AF-2B5E058257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C66-4F9E-88AF-2B5E058257C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C66-4F9E-88AF-2B5E058257C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C66-4F9E-88AF-2B5E058257CD}"/>
              </c:ext>
            </c:extLst>
          </c:dPt>
          <c:cat>
            <c:multiLvlStrRef>
              <c:f>'Pivot table'!$A$41:$A$46</c:f>
              <c:multiLvlStrCache>
                <c:ptCount val="4"/>
                <c:lvl>
                  <c:pt idx="0">
                    <c:v>Qtr1</c:v>
                  </c:pt>
                  <c:pt idx="1">
                    <c:v>Qtr2</c:v>
                  </c:pt>
                  <c:pt idx="2">
                    <c:v>Qtr3</c:v>
                  </c:pt>
                  <c:pt idx="3">
                    <c:v>Qtr4</c:v>
                  </c:pt>
                </c:lvl>
                <c:lvl>
                  <c:pt idx="0">
                    <c:v>2015</c:v>
                  </c:pt>
                </c:lvl>
              </c:multiLvlStrCache>
            </c:multiLvlStrRef>
          </c:cat>
          <c:val>
            <c:numRef>
              <c:f>'Pivot table'!$B$41:$B$46</c:f>
              <c:numCache>
                <c:formatCode>General</c:formatCode>
                <c:ptCount val="4"/>
                <c:pt idx="0">
                  <c:v>2</c:v>
                </c:pt>
                <c:pt idx="1">
                  <c:v>4</c:v>
                </c:pt>
                <c:pt idx="3">
                  <c:v>1</c:v>
                </c:pt>
              </c:numCache>
            </c:numRef>
          </c:val>
          <c:extLst>
            <c:ext xmlns:c16="http://schemas.microsoft.com/office/drawing/2014/chart" uri="{C3380CC4-5D6E-409C-BE32-E72D297353CC}">
              <c16:uniqueId val="{00000008-DC66-4F9E-88AF-2B5E058257CD}"/>
            </c:ext>
          </c:extLst>
        </c:ser>
        <c:ser>
          <c:idx val="1"/>
          <c:order val="1"/>
          <c:tx>
            <c:strRef>
              <c:f>'Pivot table'!$C$39:$C$40</c:f>
              <c:strCache>
                <c:ptCount val="1"/>
                <c:pt idx="0">
                  <c:v>HR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DC66-4F9E-88AF-2B5E058257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DC66-4F9E-88AF-2B5E058257C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DC66-4F9E-88AF-2B5E058257C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DC66-4F9E-88AF-2B5E058257CD}"/>
              </c:ext>
            </c:extLst>
          </c:dPt>
          <c:cat>
            <c:multiLvlStrRef>
              <c:f>'Pivot table'!$A$41:$A$46</c:f>
              <c:multiLvlStrCache>
                <c:ptCount val="4"/>
                <c:lvl>
                  <c:pt idx="0">
                    <c:v>Qtr1</c:v>
                  </c:pt>
                  <c:pt idx="1">
                    <c:v>Qtr2</c:v>
                  </c:pt>
                  <c:pt idx="2">
                    <c:v>Qtr3</c:v>
                  </c:pt>
                  <c:pt idx="3">
                    <c:v>Qtr4</c:v>
                  </c:pt>
                </c:lvl>
                <c:lvl>
                  <c:pt idx="0">
                    <c:v>2015</c:v>
                  </c:pt>
                </c:lvl>
              </c:multiLvlStrCache>
            </c:multiLvlStrRef>
          </c:cat>
          <c:val>
            <c:numRef>
              <c:f>'Pivot table'!$C$41:$C$46</c:f>
              <c:numCache>
                <c:formatCode>General</c:formatCode>
                <c:ptCount val="4"/>
                <c:pt idx="0">
                  <c:v>2</c:v>
                </c:pt>
                <c:pt idx="1">
                  <c:v>3</c:v>
                </c:pt>
                <c:pt idx="2">
                  <c:v>4</c:v>
                </c:pt>
                <c:pt idx="3">
                  <c:v>2</c:v>
                </c:pt>
              </c:numCache>
            </c:numRef>
          </c:val>
          <c:extLst>
            <c:ext xmlns:c16="http://schemas.microsoft.com/office/drawing/2014/chart" uri="{C3380CC4-5D6E-409C-BE32-E72D297353CC}">
              <c16:uniqueId val="{00000011-DC66-4F9E-88AF-2B5E058257CD}"/>
            </c:ext>
          </c:extLst>
        </c:ser>
        <c:ser>
          <c:idx val="2"/>
          <c:order val="2"/>
          <c:tx>
            <c:strRef>
              <c:f>'Pivot table'!$D$39:$D$40</c:f>
              <c:strCache>
                <c:ptCount val="1"/>
                <c:pt idx="0">
                  <c:v>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DC66-4F9E-88AF-2B5E058257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DC66-4F9E-88AF-2B5E058257C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DC66-4F9E-88AF-2B5E058257C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DC66-4F9E-88AF-2B5E058257CD}"/>
              </c:ext>
            </c:extLst>
          </c:dPt>
          <c:cat>
            <c:multiLvlStrRef>
              <c:f>'Pivot table'!$A$41:$A$46</c:f>
              <c:multiLvlStrCache>
                <c:ptCount val="4"/>
                <c:lvl>
                  <c:pt idx="0">
                    <c:v>Qtr1</c:v>
                  </c:pt>
                  <c:pt idx="1">
                    <c:v>Qtr2</c:v>
                  </c:pt>
                  <c:pt idx="2">
                    <c:v>Qtr3</c:v>
                  </c:pt>
                  <c:pt idx="3">
                    <c:v>Qtr4</c:v>
                  </c:pt>
                </c:lvl>
                <c:lvl>
                  <c:pt idx="0">
                    <c:v>2015</c:v>
                  </c:pt>
                </c:lvl>
              </c:multiLvlStrCache>
            </c:multiLvlStrRef>
          </c:cat>
          <c:val>
            <c:numRef>
              <c:f>'Pivot table'!$D$41:$D$46</c:f>
              <c:numCache>
                <c:formatCode>General</c:formatCode>
                <c:ptCount val="4"/>
                <c:pt idx="0">
                  <c:v>3</c:v>
                </c:pt>
                <c:pt idx="1">
                  <c:v>1</c:v>
                </c:pt>
                <c:pt idx="2">
                  <c:v>2</c:v>
                </c:pt>
                <c:pt idx="3">
                  <c:v>2</c:v>
                </c:pt>
              </c:numCache>
            </c:numRef>
          </c:val>
          <c:extLst>
            <c:ext xmlns:c16="http://schemas.microsoft.com/office/drawing/2014/chart" uri="{C3380CC4-5D6E-409C-BE32-E72D297353CC}">
              <c16:uniqueId val="{0000001A-DC66-4F9E-88AF-2B5E058257CD}"/>
            </c:ext>
          </c:extLst>
        </c:ser>
        <c:ser>
          <c:idx val="3"/>
          <c:order val="3"/>
          <c:tx>
            <c:strRef>
              <c:f>'Pivot table'!$E$39:$E$40</c:f>
              <c:strCache>
                <c:ptCount val="1"/>
                <c:pt idx="0">
                  <c:v>Marketing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C-DC66-4F9E-88AF-2B5E058257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E-DC66-4F9E-88AF-2B5E058257C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0-DC66-4F9E-88AF-2B5E058257C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2-DC66-4F9E-88AF-2B5E058257CD}"/>
              </c:ext>
            </c:extLst>
          </c:dPt>
          <c:cat>
            <c:multiLvlStrRef>
              <c:f>'Pivot table'!$A$41:$A$46</c:f>
              <c:multiLvlStrCache>
                <c:ptCount val="4"/>
                <c:lvl>
                  <c:pt idx="0">
                    <c:v>Qtr1</c:v>
                  </c:pt>
                  <c:pt idx="1">
                    <c:v>Qtr2</c:v>
                  </c:pt>
                  <c:pt idx="2">
                    <c:v>Qtr3</c:v>
                  </c:pt>
                  <c:pt idx="3">
                    <c:v>Qtr4</c:v>
                  </c:pt>
                </c:lvl>
                <c:lvl>
                  <c:pt idx="0">
                    <c:v>2015</c:v>
                  </c:pt>
                </c:lvl>
              </c:multiLvlStrCache>
            </c:multiLvlStrRef>
          </c:cat>
          <c:val>
            <c:numRef>
              <c:f>'Pivot table'!$E$41:$E$46</c:f>
              <c:numCache>
                <c:formatCode>General</c:formatCode>
                <c:ptCount val="4"/>
                <c:pt idx="0">
                  <c:v>1</c:v>
                </c:pt>
                <c:pt idx="1">
                  <c:v>5</c:v>
                </c:pt>
                <c:pt idx="2">
                  <c:v>3</c:v>
                </c:pt>
                <c:pt idx="3">
                  <c:v>2</c:v>
                </c:pt>
              </c:numCache>
            </c:numRef>
          </c:val>
          <c:extLst>
            <c:ext xmlns:c16="http://schemas.microsoft.com/office/drawing/2014/chart" uri="{C3380CC4-5D6E-409C-BE32-E72D297353CC}">
              <c16:uniqueId val="{00000023-DC66-4F9E-88AF-2B5E058257CD}"/>
            </c:ext>
          </c:extLst>
        </c:ser>
        <c:ser>
          <c:idx val="4"/>
          <c:order val="4"/>
          <c:tx>
            <c:strRef>
              <c:f>'Pivot table'!$F$39:$F$40</c:f>
              <c:strCache>
                <c:ptCount val="1"/>
                <c:pt idx="0">
                  <c:v>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DC66-4F9E-88AF-2B5E058257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DC66-4F9E-88AF-2B5E058257C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DC66-4F9E-88AF-2B5E058257C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DC66-4F9E-88AF-2B5E058257CD}"/>
              </c:ext>
            </c:extLst>
          </c:dPt>
          <c:cat>
            <c:multiLvlStrRef>
              <c:f>'Pivot table'!$A$41:$A$46</c:f>
              <c:multiLvlStrCache>
                <c:ptCount val="4"/>
                <c:lvl>
                  <c:pt idx="0">
                    <c:v>Qtr1</c:v>
                  </c:pt>
                  <c:pt idx="1">
                    <c:v>Qtr2</c:v>
                  </c:pt>
                  <c:pt idx="2">
                    <c:v>Qtr3</c:v>
                  </c:pt>
                  <c:pt idx="3">
                    <c:v>Qtr4</c:v>
                  </c:pt>
                </c:lvl>
                <c:lvl>
                  <c:pt idx="0">
                    <c:v>2015</c:v>
                  </c:pt>
                </c:lvl>
              </c:multiLvlStrCache>
            </c:multiLvlStrRef>
          </c:cat>
          <c:val>
            <c:numRef>
              <c:f>'Pivot table'!$F$41:$F$46</c:f>
              <c:numCache>
                <c:formatCode>General</c:formatCode>
                <c:ptCount val="4"/>
                <c:pt idx="0">
                  <c:v>2</c:v>
                </c:pt>
                <c:pt idx="2">
                  <c:v>2</c:v>
                </c:pt>
                <c:pt idx="3">
                  <c:v>1</c:v>
                </c:pt>
              </c:numCache>
            </c:numRef>
          </c:val>
          <c:extLst>
            <c:ext xmlns:c16="http://schemas.microsoft.com/office/drawing/2014/chart" uri="{C3380CC4-5D6E-409C-BE32-E72D297353CC}">
              <c16:uniqueId val="{0000002C-DC66-4F9E-88AF-2B5E058257C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21.xlsx]Pivot table!PivotTable13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Employees</a:t>
            </a:r>
            <a:r>
              <a:rPr lang="en-IN" baseline="0"/>
              <a:t> Joining in </a:t>
            </a:r>
            <a:r>
              <a:rPr lang="en-IN"/>
              <a:t>2016</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table'!$B$58:$B$59</c:f>
              <c:strCache>
                <c:ptCount val="1"/>
                <c:pt idx="0">
                  <c:v>Finance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07DD-4F4E-9482-DF13D670D56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07DD-4F4E-9482-DF13D670D56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07DD-4F4E-9482-DF13D670D56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07DD-4F4E-9482-DF13D670D562}"/>
              </c:ext>
            </c:extLst>
          </c:dPt>
          <c:cat>
            <c:multiLvlStrRef>
              <c:f>'Pivot table'!$A$60:$A$65</c:f>
              <c:multiLvlStrCache>
                <c:ptCount val="4"/>
                <c:lvl>
                  <c:pt idx="0">
                    <c:v>Qtr1</c:v>
                  </c:pt>
                  <c:pt idx="1">
                    <c:v>Qtr2</c:v>
                  </c:pt>
                  <c:pt idx="2">
                    <c:v>Qtr3</c:v>
                  </c:pt>
                  <c:pt idx="3">
                    <c:v>Qtr4</c:v>
                  </c:pt>
                </c:lvl>
                <c:lvl>
                  <c:pt idx="0">
                    <c:v>2016</c:v>
                  </c:pt>
                </c:lvl>
              </c:multiLvlStrCache>
            </c:multiLvlStrRef>
          </c:cat>
          <c:val>
            <c:numRef>
              <c:f>'Pivot table'!$B$60:$B$65</c:f>
              <c:numCache>
                <c:formatCode>General</c:formatCode>
                <c:ptCount val="4"/>
                <c:pt idx="1">
                  <c:v>2</c:v>
                </c:pt>
                <c:pt idx="2">
                  <c:v>2</c:v>
                </c:pt>
                <c:pt idx="3">
                  <c:v>2</c:v>
                </c:pt>
              </c:numCache>
            </c:numRef>
          </c:val>
          <c:extLst>
            <c:ext xmlns:c16="http://schemas.microsoft.com/office/drawing/2014/chart" uri="{C3380CC4-5D6E-409C-BE32-E72D297353CC}">
              <c16:uniqueId val="{00000036-07DD-4F4E-9482-DF13D670D562}"/>
            </c:ext>
          </c:extLst>
        </c:ser>
        <c:ser>
          <c:idx val="1"/>
          <c:order val="1"/>
          <c:tx>
            <c:strRef>
              <c:f>'Pivot table'!$C$58:$C$59</c:f>
              <c:strCache>
                <c:ptCount val="1"/>
                <c:pt idx="0">
                  <c:v>HR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07DD-4F4E-9482-DF13D670D56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07DD-4F4E-9482-DF13D670D56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07DD-4F4E-9482-DF13D670D56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07DD-4F4E-9482-DF13D670D562}"/>
              </c:ext>
            </c:extLst>
          </c:dPt>
          <c:cat>
            <c:multiLvlStrRef>
              <c:f>'Pivot table'!$A$60:$A$65</c:f>
              <c:multiLvlStrCache>
                <c:ptCount val="4"/>
                <c:lvl>
                  <c:pt idx="0">
                    <c:v>Qtr1</c:v>
                  </c:pt>
                  <c:pt idx="1">
                    <c:v>Qtr2</c:v>
                  </c:pt>
                  <c:pt idx="2">
                    <c:v>Qtr3</c:v>
                  </c:pt>
                  <c:pt idx="3">
                    <c:v>Qtr4</c:v>
                  </c:pt>
                </c:lvl>
                <c:lvl>
                  <c:pt idx="0">
                    <c:v>2016</c:v>
                  </c:pt>
                </c:lvl>
              </c:multiLvlStrCache>
            </c:multiLvlStrRef>
          </c:cat>
          <c:val>
            <c:numRef>
              <c:f>'Pivot table'!$C$60:$C$65</c:f>
              <c:numCache>
                <c:formatCode>General</c:formatCode>
                <c:ptCount val="4"/>
                <c:pt idx="0">
                  <c:v>1</c:v>
                </c:pt>
                <c:pt idx="3">
                  <c:v>2</c:v>
                </c:pt>
              </c:numCache>
            </c:numRef>
          </c:val>
          <c:extLst>
            <c:ext xmlns:c16="http://schemas.microsoft.com/office/drawing/2014/chart" uri="{C3380CC4-5D6E-409C-BE32-E72D297353CC}">
              <c16:uniqueId val="{00000040-07DD-4F4E-9482-DF13D670D562}"/>
            </c:ext>
          </c:extLst>
        </c:ser>
        <c:ser>
          <c:idx val="2"/>
          <c:order val="2"/>
          <c:tx>
            <c:strRef>
              <c:f>'Pivot table'!$D$58:$D$59</c:f>
              <c:strCache>
                <c:ptCount val="1"/>
                <c:pt idx="0">
                  <c:v>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07DD-4F4E-9482-DF13D670D56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5-07DD-4F4E-9482-DF13D670D56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7-07DD-4F4E-9482-DF13D670D56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9-07DD-4F4E-9482-DF13D670D562}"/>
              </c:ext>
            </c:extLst>
          </c:dPt>
          <c:cat>
            <c:multiLvlStrRef>
              <c:f>'Pivot table'!$A$60:$A$65</c:f>
              <c:multiLvlStrCache>
                <c:ptCount val="4"/>
                <c:lvl>
                  <c:pt idx="0">
                    <c:v>Qtr1</c:v>
                  </c:pt>
                  <c:pt idx="1">
                    <c:v>Qtr2</c:v>
                  </c:pt>
                  <c:pt idx="2">
                    <c:v>Qtr3</c:v>
                  </c:pt>
                  <c:pt idx="3">
                    <c:v>Qtr4</c:v>
                  </c:pt>
                </c:lvl>
                <c:lvl>
                  <c:pt idx="0">
                    <c:v>2016</c:v>
                  </c:pt>
                </c:lvl>
              </c:multiLvlStrCache>
            </c:multiLvlStrRef>
          </c:cat>
          <c:val>
            <c:numRef>
              <c:f>'Pivot table'!$D$60:$D$65</c:f>
              <c:numCache>
                <c:formatCode>General</c:formatCode>
                <c:ptCount val="4"/>
                <c:pt idx="0">
                  <c:v>2</c:v>
                </c:pt>
                <c:pt idx="2">
                  <c:v>4</c:v>
                </c:pt>
                <c:pt idx="3">
                  <c:v>2</c:v>
                </c:pt>
              </c:numCache>
            </c:numRef>
          </c:val>
          <c:extLst>
            <c:ext xmlns:c16="http://schemas.microsoft.com/office/drawing/2014/chart" uri="{C3380CC4-5D6E-409C-BE32-E72D297353CC}">
              <c16:uniqueId val="{0000004A-07DD-4F4E-9482-DF13D670D562}"/>
            </c:ext>
          </c:extLst>
        </c:ser>
        <c:ser>
          <c:idx val="3"/>
          <c:order val="3"/>
          <c:tx>
            <c:strRef>
              <c:f>'Pivot table'!$E$58:$E$59</c:f>
              <c:strCache>
                <c:ptCount val="1"/>
                <c:pt idx="0">
                  <c:v>Marketing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D-07DD-4F4E-9482-DF13D670D56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F-07DD-4F4E-9482-DF13D670D56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1-07DD-4F4E-9482-DF13D670D56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3-07DD-4F4E-9482-DF13D670D562}"/>
              </c:ext>
            </c:extLst>
          </c:dPt>
          <c:cat>
            <c:multiLvlStrRef>
              <c:f>'Pivot table'!$A$60:$A$65</c:f>
              <c:multiLvlStrCache>
                <c:ptCount val="4"/>
                <c:lvl>
                  <c:pt idx="0">
                    <c:v>Qtr1</c:v>
                  </c:pt>
                  <c:pt idx="1">
                    <c:v>Qtr2</c:v>
                  </c:pt>
                  <c:pt idx="2">
                    <c:v>Qtr3</c:v>
                  </c:pt>
                  <c:pt idx="3">
                    <c:v>Qtr4</c:v>
                  </c:pt>
                </c:lvl>
                <c:lvl>
                  <c:pt idx="0">
                    <c:v>2016</c:v>
                  </c:pt>
                </c:lvl>
              </c:multiLvlStrCache>
            </c:multiLvlStrRef>
          </c:cat>
          <c:val>
            <c:numRef>
              <c:f>'Pivot table'!$E$60:$E$65</c:f>
              <c:numCache>
                <c:formatCode>General</c:formatCode>
                <c:ptCount val="4"/>
                <c:pt idx="0">
                  <c:v>3</c:v>
                </c:pt>
                <c:pt idx="1">
                  <c:v>3</c:v>
                </c:pt>
                <c:pt idx="2">
                  <c:v>4</c:v>
                </c:pt>
                <c:pt idx="3">
                  <c:v>3</c:v>
                </c:pt>
              </c:numCache>
            </c:numRef>
          </c:val>
          <c:extLst>
            <c:ext xmlns:c16="http://schemas.microsoft.com/office/drawing/2014/chart" uri="{C3380CC4-5D6E-409C-BE32-E72D297353CC}">
              <c16:uniqueId val="{00000054-07DD-4F4E-9482-DF13D670D562}"/>
            </c:ext>
          </c:extLst>
        </c:ser>
        <c:ser>
          <c:idx val="4"/>
          <c:order val="4"/>
          <c:tx>
            <c:strRef>
              <c:f>'Pivot table'!$F$58:$F$59</c:f>
              <c:strCache>
                <c:ptCount val="1"/>
                <c:pt idx="0">
                  <c:v>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7-07DD-4F4E-9482-DF13D670D56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9-07DD-4F4E-9482-DF13D670D56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B-07DD-4F4E-9482-DF13D670D56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D-07DD-4F4E-9482-DF13D670D562}"/>
              </c:ext>
            </c:extLst>
          </c:dPt>
          <c:cat>
            <c:multiLvlStrRef>
              <c:f>'Pivot table'!$A$60:$A$65</c:f>
              <c:multiLvlStrCache>
                <c:ptCount val="4"/>
                <c:lvl>
                  <c:pt idx="0">
                    <c:v>Qtr1</c:v>
                  </c:pt>
                  <c:pt idx="1">
                    <c:v>Qtr2</c:v>
                  </c:pt>
                  <c:pt idx="2">
                    <c:v>Qtr3</c:v>
                  </c:pt>
                  <c:pt idx="3">
                    <c:v>Qtr4</c:v>
                  </c:pt>
                </c:lvl>
                <c:lvl>
                  <c:pt idx="0">
                    <c:v>2016</c:v>
                  </c:pt>
                </c:lvl>
              </c:multiLvlStrCache>
            </c:multiLvlStrRef>
          </c:cat>
          <c:val>
            <c:numRef>
              <c:f>'Pivot table'!$F$60:$F$65</c:f>
              <c:numCache>
                <c:formatCode>General</c:formatCode>
                <c:ptCount val="4"/>
                <c:pt idx="0">
                  <c:v>1</c:v>
                </c:pt>
                <c:pt idx="1">
                  <c:v>2</c:v>
                </c:pt>
                <c:pt idx="2">
                  <c:v>4</c:v>
                </c:pt>
              </c:numCache>
            </c:numRef>
          </c:val>
          <c:extLst>
            <c:ext xmlns:c16="http://schemas.microsoft.com/office/drawing/2014/chart" uri="{C3380CC4-5D6E-409C-BE32-E72D297353CC}">
              <c16:uniqueId val="{0000005E-07DD-4F4E-9482-DF13D670D56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 Joining in 2017</a:t>
            </a:r>
          </a:p>
        </c:rich>
      </c:tx>
      <c:layout>
        <c:manualLayout>
          <c:xMode val="edge"/>
          <c:yMode val="edge"/>
          <c:x val="0.26395822397200353"/>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Finance</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65F-4160-8831-9A3EA06AF178}"/>
              </c:ext>
            </c:extLst>
          </c:dPt>
          <c:dPt>
            <c:idx val="1"/>
            <c:bubble3D val="0"/>
            <c:explosion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65F-4160-8831-9A3EA06AF17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65F-4160-8831-9A3EA06AF17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65F-4160-8831-9A3EA06AF178}"/>
              </c:ext>
            </c:extLst>
          </c:dPt>
          <c:cat>
            <c:strLit>
              <c:ptCount val="4"/>
              <c:pt idx="0">
                <c:v>2017 Qtr1</c:v>
              </c:pt>
              <c:pt idx="1">
                <c:v>2017 Qtr2</c:v>
              </c:pt>
              <c:pt idx="2">
                <c:v>2017 Qtr3</c:v>
              </c:pt>
              <c:pt idx="3">
                <c:v>2017 Qtr4</c:v>
              </c:pt>
            </c:strLit>
          </c:cat>
          <c:val>
            <c:numLit>
              <c:formatCode>General</c:formatCode>
              <c:ptCount val="4"/>
              <c:pt idx="0">
                <c:v>0</c:v>
              </c:pt>
              <c:pt idx="1">
                <c:v>1</c:v>
              </c:pt>
              <c:pt idx="2">
                <c:v>0</c:v>
              </c:pt>
              <c:pt idx="3">
                <c:v>0</c:v>
              </c:pt>
            </c:numLit>
          </c:val>
          <c:extLst>
            <c:ext xmlns:c16="http://schemas.microsoft.com/office/drawing/2014/chart" uri="{C3380CC4-5D6E-409C-BE32-E72D297353CC}">
              <c16:uniqueId val="{00000008-665F-4160-8831-9A3EA06AF178}"/>
            </c:ext>
          </c:extLst>
        </c:ser>
        <c:dLbls>
          <c:showLegendKey val="0"/>
          <c:showVal val="0"/>
          <c:showCatName val="0"/>
          <c:showSerName val="0"/>
          <c:showPercent val="0"/>
          <c:showBubbleSize val="0"/>
          <c:showLeaderLines val="1"/>
        </c:dLbls>
        <c:extLst>
          <c:ext xmlns:c15="http://schemas.microsoft.com/office/drawing/2012/chart" uri="{02D57815-91ED-43cb-92C2-25804820EDAC}">
            <c15:filteredPieSeries>
              <c15:ser>
                <c:idx val="1"/>
                <c:order val="1"/>
                <c:tx>
                  <c:v>Series2</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665F-4160-8831-9A3EA06AF17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665F-4160-8831-9A3EA06AF17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665F-4160-8831-9A3EA06AF17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665F-4160-8831-9A3EA06AF178}"/>
                    </c:ext>
                  </c:extLst>
                </c:dPt>
                <c:cat>
                  <c:strLit>
                    <c:ptCount val="4"/>
                    <c:pt idx="0">
                      <c:v>2017 Qtr1</c:v>
                    </c:pt>
                    <c:pt idx="1">
                      <c:v>2017 Qtr2</c:v>
                    </c:pt>
                    <c:pt idx="2">
                      <c:v>2017 Qtr3</c:v>
                    </c:pt>
                    <c:pt idx="3">
                      <c:v>2017 Qtr4</c:v>
                    </c:pt>
                  </c:strLit>
                </c:cat>
                <c:val>
                  <c:numLit>
                    <c:formatCode>General</c:formatCode>
                    <c:ptCount val="4"/>
                    <c:pt idx="0">
                      <c:v>1</c:v>
                    </c:pt>
                    <c:pt idx="1">
                      <c:v>0</c:v>
                    </c:pt>
                    <c:pt idx="2">
                      <c:v>2</c:v>
                    </c:pt>
                    <c:pt idx="3">
                      <c:v>0</c:v>
                    </c:pt>
                  </c:numLit>
                </c:val>
                <c:extLst>
                  <c:ext xmlns:c16="http://schemas.microsoft.com/office/drawing/2014/chart" uri="{C3380CC4-5D6E-409C-BE32-E72D297353CC}">
                    <c16:uniqueId val="{00000011-665F-4160-8831-9A3EA06AF178}"/>
                  </c:ext>
                </c:extLst>
              </c15:ser>
            </c15:filteredPieSeries>
            <c15:filteredPieSeries>
              <c15:ser>
                <c:idx val="2"/>
                <c:order val="2"/>
                <c:tx>
                  <c:v>Series3</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665F-4160-8831-9A3EA06AF17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665F-4160-8831-9A3EA06AF17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665F-4160-8831-9A3EA06AF17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665F-4160-8831-9A3EA06AF178}"/>
                    </c:ext>
                  </c:extLst>
                </c:dPt>
                <c:cat>
                  <c:strLit>
                    <c:ptCount val="4"/>
                    <c:pt idx="0">
                      <c:v>2017 Qtr1</c:v>
                    </c:pt>
                    <c:pt idx="1">
                      <c:v>2017 Qtr2</c:v>
                    </c:pt>
                    <c:pt idx="2">
                      <c:v>2017 Qtr3</c:v>
                    </c:pt>
                    <c:pt idx="3">
                      <c:v>2017 Qtr4</c:v>
                    </c:pt>
                  </c:strLit>
                </c:cat>
                <c:val>
                  <c:numLit>
                    <c:formatCode>General</c:formatCode>
                    <c:ptCount val="4"/>
                    <c:pt idx="0">
                      <c:v>2</c:v>
                    </c:pt>
                    <c:pt idx="1">
                      <c:v>1</c:v>
                    </c:pt>
                    <c:pt idx="2">
                      <c:v>0</c:v>
                    </c:pt>
                    <c:pt idx="3">
                      <c:v>0</c:v>
                    </c:pt>
                  </c:numLit>
                </c:val>
                <c:extLst>
                  <c:ext xmlns:c16="http://schemas.microsoft.com/office/drawing/2014/chart" uri="{C3380CC4-5D6E-409C-BE32-E72D297353CC}">
                    <c16:uniqueId val="{0000001A-665F-4160-8831-9A3EA06AF178}"/>
                  </c:ext>
                </c:extLst>
              </c15:ser>
            </c15:filteredPieSeries>
            <c15:filteredPieSeries>
              <c15:ser>
                <c:idx val="3"/>
                <c:order val="3"/>
                <c:tx>
                  <c:v>Series4</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C-665F-4160-8831-9A3EA06AF17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E-665F-4160-8831-9A3EA06AF17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0-665F-4160-8831-9A3EA06AF17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2-665F-4160-8831-9A3EA06AF178}"/>
                    </c:ext>
                  </c:extLst>
                </c:dPt>
                <c:cat>
                  <c:strLit>
                    <c:ptCount val="4"/>
                    <c:pt idx="0">
                      <c:v>2017 Qtr1</c:v>
                    </c:pt>
                    <c:pt idx="1">
                      <c:v>2017 Qtr2</c:v>
                    </c:pt>
                    <c:pt idx="2">
                      <c:v>2017 Qtr3</c:v>
                    </c:pt>
                    <c:pt idx="3">
                      <c:v>2017 Qtr4</c:v>
                    </c:pt>
                  </c:strLit>
                </c:cat>
                <c:val>
                  <c:numLit>
                    <c:formatCode>General</c:formatCode>
                    <c:ptCount val="4"/>
                    <c:pt idx="0">
                      <c:v>1</c:v>
                    </c:pt>
                    <c:pt idx="1">
                      <c:v>2</c:v>
                    </c:pt>
                    <c:pt idx="2">
                      <c:v>0</c:v>
                    </c:pt>
                    <c:pt idx="3">
                      <c:v>2</c:v>
                    </c:pt>
                  </c:numLit>
                </c:val>
                <c:extLst>
                  <c:ext xmlns:c16="http://schemas.microsoft.com/office/drawing/2014/chart" uri="{C3380CC4-5D6E-409C-BE32-E72D297353CC}">
                    <c16:uniqueId val="{00000023-665F-4160-8831-9A3EA06AF178}"/>
                  </c:ext>
                </c:extLst>
              </c15:ser>
            </c15:filteredPieSeries>
            <c15:filteredPieSeries>
              <c15:ser>
                <c:idx val="4"/>
                <c:order val="4"/>
                <c:tx>
                  <c:v>Series5</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665F-4160-8831-9A3EA06AF17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665F-4160-8831-9A3EA06AF17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665F-4160-8831-9A3EA06AF17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665F-4160-8831-9A3EA06AF178}"/>
                    </c:ext>
                  </c:extLst>
                </c:dPt>
                <c:cat>
                  <c:strLit>
                    <c:ptCount val="4"/>
                    <c:pt idx="0">
                      <c:v>2017 Qtr1</c:v>
                    </c:pt>
                    <c:pt idx="1">
                      <c:v>2017 Qtr2</c:v>
                    </c:pt>
                    <c:pt idx="2">
                      <c:v>2017 Qtr3</c:v>
                    </c:pt>
                    <c:pt idx="3">
                      <c:v>2017 Qtr4</c:v>
                    </c:pt>
                  </c:strLit>
                </c:cat>
                <c:val>
                  <c:numLit>
                    <c:formatCode>General</c:formatCode>
                    <c:ptCount val="4"/>
                    <c:pt idx="0">
                      <c:v>0</c:v>
                    </c:pt>
                    <c:pt idx="1">
                      <c:v>4</c:v>
                    </c:pt>
                    <c:pt idx="2">
                      <c:v>0</c:v>
                    </c:pt>
                    <c:pt idx="3">
                      <c:v>2</c:v>
                    </c:pt>
                  </c:numLit>
                </c:val>
                <c:extLst>
                  <c:ext xmlns:c16="http://schemas.microsoft.com/office/drawing/2014/chart" uri="{C3380CC4-5D6E-409C-BE32-E72D297353CC}">
                    <c16:uniqueId val="{0000002C-665F-4160-8831-9A3EA06AF178}"/>
                  </c:ext>
                </c:extLst>
              </c15:ser>
            </c15:filteredPieSeries>
          </c:ext>
        </c:extLst>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salary of employees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Finance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Australia</c:v>
              </c:pt>
              <c:pt idx="1">
                <c:v>Germany</c:v>
              </c:pt>
              <c:pt idx="2">
                <c:v>India</c:v>
              </c:pt>
              <c:pt idx="3">
                <c:v>UK</c:v>
              </c:pt>
              <c:pt idx="4">
                <c:v>USA</c:v>
              </c:pt>
            </c:strLit>
          </c:cat>
          <c:val>
            <c:numLit>
              <c:formatCode>General</c:formatCode>
              <c:ptCount val="5"/>
              <c:pt idx="0">
                <c:v>68721</c:v>
              </c:pt>
              <c:pt idx="1">
                <c:v>63184</c:v>
              </c:pt>
              <c:pt idx="2">
                <c:v>63813.428571428572</c:v>
              </c:pt>
              <c:pt idx="3">
                <c:v>68043</c:v>
              </c:pt>
              <c:pt idx="4">
                <c:v>72939</c:v>
              </c:pt>
            </c:numLit>
          </c:val>
          <c:extLst>
            <c:ext xmlns:c16="http://schemas.microsoft.com/office/drawing/2014/chart" uri="{C3380CC4-5D6E-409C-BE32-E72D297353CC}">
              <c16:uniqueId val="{00000000-F06E-4FA3-982C-694A86113BD8}"/>
            </c:ext>
          </c:extLst>
        </c:ser>
        <c:ser>
          <c:idx val="1"/>
          <c:order val="1"/>
          <c:tx>
            <c:v>HR</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Australia</c:v>
              </c:pt>
              <c:pt idx="1">
                <c:v>Germany</c:v>
              </c:pt>
              <c:pt idx="2">
                <c:v>India</c:v>
              </c:pt>
              <c:pt idx="3">
                <c:v>UK</c:v>
              </c:pt>
              <c:pt idx="4">
                <c:v>USA</c:v>
              </c:pt>
            </c:strLit>
          </c:cat>
          <c:val>
            <c:numLit>
              <c:formatCode>General</c:formatCode>
              <c:ptCount val="5"/>
              <c:pt idx="0">
                <c:v>0</c:v>
              </c:pt>
              <c:pt idx="1">
                <c:v>72590.2</c:v>
              </c:pt>
              <c:pt idx="2">
                <c:v>74034</c:v>
              </c:pt>
              <c:pt idx="3">
                <c:v>63117.333333333336</c:v>
              </c:pt>
              <c:pt idx="4">
                <c:v>47166.333333333336</c:v>
              </c:pt>
            </c:numLit>
          </c:val>
          <c:extLst>
            <c:ext xmlns:c16="http://schemas.microsoft.com/office/drawing/2014/chart" uri="{C3380CC4-5D6E-409C-BE32-E72D297353CC}">
              <c16:uniqueId val="{00000001-F06E-4FA3-982C-694A86113BD8}"/>
            </c:ext>
          </c:extLst>
        </c:ser>
        <c:ser>
          <c:idx val="2"/>
          <c:order val="2"/>
          <c:tx>
            <c:v>IT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Australia</c:v>
              </c:pt>
              <c:pt idx="1">
                <c:v>Germany</c:v>
              </c:pt>
              <c:pt idx="2">
                <c:v>India</c:v>
              </c:pt>
              <c:pt idx="3">
                <c:v>UK</c:v>
              </c:pt>
              <c:pt idx="4">
                <c:v>USA</c:v>
              </c:pt>
            </c:strLit>
          </c:cat>
          <c:val>
            <c:numLit>
              <c:formatCode>General</c:formatCode>
              <c:ptCount val="5"/>
              <c:pt idx="0">
                <c:v>70470</c:v>
              </c:pt>
              <c:pt idx="1">
                <c:v>74846</c:v>
              </c:pt>
              <c:pt idx="2">
                <c:v>61767.625</c:v>
              </c:pt>
              <c:pt idx="3">
                <c:v>60563.666666666664</c:v>
              </c:pt>
              <c:pt idx="4">
                <c:v>73723.5</c:v>
              </c:pt>
            </c:numLit>
          </c:val>
          <c:extLst>
            <c:ext xmlns:c16="http://schemas.microsoft.com/office/drawing/2014/chart" uri="{C3380CC4-5D6E-409C-BE32-E72D297353CC}">
              <c16:uniqueId val="{00000002-F06E-4FA3-982C-694A86113BD8}"/>
            </c:ext>
          </c:extLst>
        </c:ser>
        <c:ser>
          <c:idx val="3"/>
          <c:order val="3"/>
          <c:tx>
            <c:v>Marketing</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Australia</c:v>
              </c:pt>
              <c:pt idx="1">
                <c:v>Germany</c:v>
              </c:pt>
              <c:pt idx="2">
                <c:v>India</c:v>
              </c:pt>
              <c:pt idx="3">
                <c:v>UK</c:v>
              </c:pt>
              <c:pt idx="4">
                <c:v>USA</c:v>
              </c:pt>
            </c:strLit>
          </c:cat>
          <c:val>
            <c:numLit>
              <c:formatCode>General</c:formatCode>
              <c:ptCount val="5"/>
              <c:pt idx="0">
                <c:v>65534.666666666664</c:v>
              </c:pt>
              <c:pt idx="1">
                <c:v>76015</c:v>
              </c:pt>
              <c:pt idx="2">
                <c:v>70535.833333333328</c:v>
              </c:pt>
              <c:pt idx="3">
                <c:v>67435.166666666672</c:v>
              </c:pt>
              <c:pt idx="4">
                <c:v>80316.2</c:v>
              </c:pt>
            </c:numLit>
          </c:val>
          <c:extLst>
            <c:ext xmlns:c16="http://schemas.microsoft.com/office/drawing/2014/chart" uri="{C3380CC4-5D6E-409C-BE32-E72D297353CC}">
              <c16:uniqueId val="{00000003-F06E-4FA3-982C-694A86113BD8}"/>
            </c:ext>
          </c:extLst>
        </c:ser>
        <c:ser>
          <c:idx val="4"/>
          <c:order val="4"/>
          <c:tx>
            <c:v>Sales</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Australia</c:v>
              </c:pt>
              <c:pt idx="1">
                <c:v>Germany</c:v>
              </c:pt>
              <c:pt idx="2">
                <c:v>India</c:v>
              </c:pt>
              <c:pt idx="3">
                <c:v>UK</c:v>
              </c:pt>
              <c:pt idx="4">
                <c:v>USA</c:v>
              </c:pt>
            </c:strLit>
          </c:cat>
          <c:val>
            <c:numLit>
              <c:formatCode>General</c:formatCode>
              <c:ptCount val="5"/>
              <c:pt idx="0">
                <c:v>68276.666666666672</c:v>
              </c:pt>
              <c:pt idx="1">
                <c:v>64224.666666666664</c:v>
              </c:pt>
              <c:pt idx="2">
                <c:v>70575.5</c:v>
              </c:pt>
              <c:pt idx="3">
                <c:v>91620</c:v>
              </c:pt>
              <c:pt idx="4">
                <c:v>66436.800000000003</c:v>
              </c:pt>
            </c:numLit>
          </c:val>
          <c:extLst>
            <c:ext xmlns:c16="http://schemas.microsoft.com/office/drawing/2014/chart" uri="{C3380CC4-5D6E-409C-BE32-E72D297353CC}">
              <c16:uniqueId val="{00000004-F06E-4FA3-982C-694A86113BD8}"/>
            </c:ext>
          </c:extLst>
        </c:ser>
        <c:dLbls>
          <c:showLegendKey val="0"/>
          <c:showVal val="0"/>
          <c:showCatName val="0"/>
          <c:showSerName val="0"/>
          <c:showPercent val="0"/>
          <c:showBubbleSize val="0"/>
        </c:dLbls>
        <c:gapWidth val="115"/>
        <c:overlap val="-20"/>
        <c:axId val="1414466143"/>
        <c:axId val="1414468063"/>
      </c:barChart>
      <c:catAx>
        <c:axId val="14144661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68063"/>
        <c:crosses val="autoZero"/>
        <c:auto val="1"/>
        <c:lblAlgn val="ctr"/>
        <c:lblOffset val="100"/>
        <c:noMultiLvlLbl val="0"/>
      </c:catAx>
      <c:valAx>
        <c:axId val="14144680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66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21.xlsx]Pivot table!PivotTable15</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800" baseline="0"/>
              <a:t>Performance</a:t>
            </a:r>
            <a:r>
              <a:rPr lang="en-IN" baseline="0"/>
              <a:t> </a:t>
            </a:r>
            <a:r>
              <a:rPr lang="en-IN" sz="1800" baseline="0"/>
              <a:t>Ratings</a:t>
            </a:r>
            <a:endParaRPr lang="en-IN" sz="18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table'!$B$108:$B$109</c:f>
              <c:strCache>
                <c:ptCount val="1"/>
                <c:pt idx="0">
                  <c:v>1</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table'!$A$110:$A$115</c:f>
              <c:strCache>
                <c:ptCount val="5"/>
                <c:pt idx="0">
                  <c:v>Finance</c:v>
                </c:pt>
                <c:pt idx="1">
                  <c:v>HR</c:v>
                </c:pt>
                <c:pt idx="2">
                  <c:v>IT</c:v>
                </c:pt>
                <c:pt idx="3">
                  <c:v>Marketing</c:v>
                </c:pt>
                <c:pt idx="4">
                  <c:v>Sales</c:v>
                </c:pt>
              </c:strCache>
            </c:strRef>
          </c:cat>
          <c:val>
            <c:numRef>
              <c:f>'Pivot table'!$B$110:$B$115</c:f>
              <c:numCache>
                <c:formatCode>General</c:formatCode>
                <c:ptCount val="5"/>
                <c:pt idx="0">
                  <c:v>5</c:v>
                </c:pt>
                <c:pt idx="1">
                  <c:v>3</c:v>
                </c:pt>
                <c:pt idx="2">
                  <c:v>4</c:v>
                </c:pt>
                <c:pt idx="3">
                  <c:v>5</c:v>
                </c:pt>
                <c:pt idx="4">
                  <c:v>6</c:v>
                </c:pt>
              </c:numCache>
            </c:numRef>
          </c:val>
          <c:smooth val="0"/>
          <c:extLst>
            <c:ext xmlns:c16="http://schemas.microsoft.com/office/drawing/2014/chart" uri="{C3380CC4-5D6E-409C-BE32-E72D297353CC}">
              <c16:uniqueId val="{00000000-530C-4C22-B793-9284A681A8AB}"/>
            </c:ext>
          </c:extLst>
        </c:ser>
        <c:ser>
          <c:idx val="1"/>
          <c:order val="1"/>
          <c:tx>
            <c:strRef>
              <c:f>'Pivot table'!$C$108:$C$109</c:f>
              <c:strCache>
                <c:ptCount val="1"/>
                <c:pt idx="0">
                  <c:v>2</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table'!$A$110:$A$115</c:f>
              <c:strCache>
                <c:ptCount val="5"/>
                <c:pt idx="0">
                  <c:v>Finance</c:v>
                </c:pt>
                <c:pt idx="1">
                  <c:v>HR</c:v>
                </c:pt>
                <c:pt idx="2">
                  <c:v>IT</c:v>
                </c:pt>
                <c:pt idx="3">
                  <c:v>Marketing</c:v>
                </c:pt>
                <c:pt idx="4">
                  <c:v>Sales</c:v>
                </c:pt>
              </c:strCache>
            </c:strRef>
          </c:cat>
          <c:val>
            <c:numRef>
              <c:f>'Pivot table'!$C$110:$C$115</c:f>
              <c:numCache>
                <c:formatCode>General</c:formatCode>
                <c:ptCount val="5"/>
                <c:pt idx="0">
                  <c:v>1</c:v>
                </c:pt>
                <c:pt idx="1">
                  <c:v>4</c:v>
                </c:pt>
                <c:pt idx="2">
                  <c:v>1</c:v>
                </c:pt>
                <c:pt idx="3">
                  <c:v>5</c:v>
                </c:pt>
                <c:pt idx="4">
                  <c:v>4</c:v>
                </c:pt>
              </c:numCache>
            </c:numRef>
          </c:val>
          <c:smooth val="0"/>
          <c:extLst>
            <c:ext xmlns:c16="http://schemas.microsoft.com/office/drawing/2014/chart" uri="{C3380CC4-5D6E-409C-BE32-E72D297353CC}">
              <c16:uniqueId val="{00000001-530C-4C22-B793-9284A681A8AB}"/>
            </c:ext>
          </c:extLst>
        </c:ser>
        <c:ser>
          <c:idx val="2"/>
          <c:order val="2"/>
          <c:tx>
            <c:strRef>
              <c:f>'Pivot table'!$D$108:$D$109</c:f>
              <c:strCache>
                <c:ptCount val="1"/>
                <c:pt idx="0">
                  <c:v>3</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table'!$A$110:$A$115</c:f>
              <c:strCache>
                <c:ptCount val="5"/>
                <c:pt idx="0">
                  <c:v>Finance</c:v>
                </c:pt>
                <c:pt idx="1">
                  <c:v>HR</c:v>
                </c:pt>
                <c:pt idx="2">
                  <c:v>IT</c:v>
                </c:pt>
                <c:pt idx="3">
                  <c:v>Marketing</c:v>
                </c:pt>
                <c:pt idx="4">
                  <c:v>Sales</c:v>
                </c:pt>
              </c:strCache>
            </c:strRef>
          </c:cat>
          <c:val>
            <c:numRef>
              <c:f>'Pivot table'!$D$110:$D$115</c:f>
              <c:numCache>
                <c:formatCode>General</c:formatCode>
                <c:ptCount val="5"/>
                <c:pt idx="0">
                  <c:v>3</c:v>
                </c:pt>
                <c:pt idx="1">
                  <c:v>8</c:v>
                </c:pt>
                <c:pt idx="2">
                  <c:v>10</c:v>
                </c:pt>
                <c:pt idx="3">
                  <c:v>8</c:v>
                </c:pt>
                <c:pt idx="4">
                  <c:v>7</c:v>
                </c:pt>
              </c:numCache>
            </c:numRef>
          </c:val>
          <c:smooth val="0"/>
          <c:extLst>
            <c:ext xmlns:c16="http://schemas.microsoft.com/office/drawing/2014/chart" uri="{C3380CC4-5D6E-409C-BE32-E72D297353CC}">
              <c16:uniqueId val="{00000002-530C-4C22-B793-9284A681A8AB}"/>
            </c:ext>
          </c:extLst>
        </c:ser>
        <c:ser>
          <c:idx val="3"/>
          <c:order val="3"/>
          <c:tx>
            <c:strRef>
              <c:f>'Pivot table'!$E$108:$E$109</c:f>
              <c:strCache>
                <c:ptCount val="1"/>
                <c:pt idx="0">
                  <c:v>4</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 table'!$A$110:$A$115</c:f>
              <c:strCache>
                <c:ptCount val="5"/>
                <c:pt idx="0">
                  <c:v>Finance</c:v>
                </c:pt>
                <c:pt idx="1">
                  <c:v>HR</c:v>
                </c:pt>
                <c:pt idx="2">
                  <c:v>IT</c:v>
                </c:pt>
                <c:pt idx="3">
                  <c:v>Marketing</c:v>
                </c:pt>
                <c:pt idx="4">
                  <c:v>Sales</c:v>
                </c:pt>
              </c:strCache>
            </c:strRef>
          </c:cat>
          <c:val>
            <c:numRef>
              <c:f>'Pivot table'!$E$110:$E$115</c:f>
              <c:numCache>
                <c:formatCode>General</c:formatCode>
                <c:ptCount val="5"/>
                <c:pt idx="0">
                  <c:v>2</c:v>
                </c:pt>
                <c:pt idx="1">
                  <c:v>2</c:v>
                </c:pt>
                <c:pt idx="2">
                  <c:v>1</c:v>
                </c:pt>
                <c:pt idx="3">
                  <c:v>3</c:v>
                </c:pt>
              </c:numCache>
            </c:numRef>
          </c:val>
          <c:smooth val="0"/>
          <c:extLst>
            <c:ext xmlns:c16="http://schemas.microsoft.com/office/drawing/2014/chart" uri="{C3380CC4-5D6E-409C-BE32-E72D297353CC}">
              <c16:uniqueId val="{00000003-530C-4C22-B793-9284A681A8AB}"/>
            </c:ext>
          </c:extLst>
        </c:ser>
        <c:ser>
          <c:idx val="4"/>
          <c:order val="4"/>
          <c:tx>
            <c:strRef>
              <c:f>'Pivot table'!$F$108:$F$109</c:f>
              <c:strCache>
                <c:ptCount val="1"/>
                <c:pt idx="0">
                  <c:v>5</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'Pivot table'!$A$110:$A$115</c:f>
              <c:strCache>
                <c:ptCount val="5"/>
                <c:pt idx="0">
                  <c:v>Finance</c:v>
                </c:pt>
                <c:pt idx="1">
                  <c:v>HR</c:v>
                </c:pt>
                <c:pt idx="2">
                  <c:v>IT</c:v>
                </c:pt>
                <c:pt idx="3">
                  <c:v>Marketing</c:v>
                </c:pt>
                <c:pt idx="4">
                  <c:v>Sales</c:v>
                </c:pt>
              </c:strCache>
            </c:strRef>
          </c:cat>
          <c:val>
            <c:numRef>
              <c:f>'Pivot table'!$F$110:$F$115</c:f>
              <c:numCache>
                <c:formatCode>General</c:formatCode>
                <c:ptCount val="5"/>
                <c:pt idx="0">
                  <c:v>3</c:v>
                </c:pt>
                <c:pt idx="2">
                  <c:v>3</c:v>
                </c:pt>
                <c:pt idx="3">
                  <c:v>8</c:v>
                </c:pt>
                <c:pt idx="4">
                  <c:v>1</c:v>
                </c:pt>
              </c:numCache>
            </c:numRef>
          </c:val>
          <c:smooth val="0"/>
          <c:extLst>
            <c:ext xmlns:c16="http://schemas.microsoft.com/office/drawing/2014/chart" uri="{C3380CC4-5D6E-409C-BE32-E72D297353CC}">
              <c16:uniqueId val="{00000004-530C-4C22-B793-9284A681A8AB}"/>
            </c:ext>
          </c:extLst>
        </c:ser>
        <c:dLbls>
          <c:showLegendKey val="0"/>
          <c:showVal val="0"/>
          <c:showCatName val="0"/>
          <c:showSerName val="0"/>
          <c:showPercent val="0"/>
          <c:showBubbleSize val="0"/>
        </c:dLbls>
        <c:marker val="1"/>
        <c:smooth val="0"/>
        <c:axId val="310571584"/>
        <c:axId val="310564864"/>
      </c:lineChart>
      <c:catAx>
        <c:axId val="3105715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0564864"/>
        <c:crosses val="autoZero"/>
        <c:auto val="1"/>
        <c:lblAlgn val="ctr"/>
        <c:lblOffset val="100"/>
        <c:noMultiLvlLbl val="0"/>
      </c:catAx>
      <c:valAx>
        <c:axId val="3105648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057158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581025</xdr:colOff>
      <xdr:row>0</xdr:row>
      <xdr:rowOff>71437</xdr:rowOff>
    </xdr:from>
    <xdr:to>
      <xdr:col>16</xdr:col>
      <xdr:colOff>333375</xdr:colOff>
      <xdr:row>14</xdr:row>
      <xdr:rowOff>147637</xdr:rowOff>
    </xdr:to>
    <xdr:graphicFrame macro="">
      <xdr:nvGraphicFramePr>
        <xdr:cNvPr id="2" name="Chart 1">
          <a:extLst>
            <a:ext uri="{FF2B5EF4-FFF2-40B4-BE49-F238E27FC236}">
              <a16:creationId xmlns:a16="http://schemas.microsoft.com/office/drawing/2014/main" id="{9F9AB3AB-DBBB-06A4-489F-B4D9CF6AA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17</xdr:row>
      <xdr:rowOff>4762</xdr:rowOff>
    </xdr:from>
    <xdr:to>
      <xdr:col>17</xdr:col>
      <xdr:colOff>38100</xdr:colOff>
      <xdr:row>31</xdr:row>
      <xdr:rowOff>80962</xdr:rowOff>
    </xdr:to>
    <xdr:graphicFrame macro="">
      <xdr:nvGraphicFramePr>
        <xdr:cNvPr id="3" name="Chart 2">
          <a:extLst>
            <a:ext uri="{FF2B5EF4-FFF2-40B4-BE49-F238E27FC236}">
              <a16:creationId xmlns:a16="http://schemas.microsoft.com/office/drawing/2014/main" id="{F44CFD58-F6E6-990F-3E3B-76B15A935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466725</xdr:colOff>
      <xdr:row>35</xdr:row>
      <xdr:rowOff>128587</xdr:rowOff>
    </xdr:from>
    <xdr:to>
      <xdr:col>15</xdr:col>
      <xdr:colOff>85725</xdr:colOff>
      <xdr:row>50</xdr:row>
      <xdr:rowOff>14287</xdr:rowOff>
    </xdr:to>
    <xdr:graphicFrame macro="">
      <xdr:nvGraphicFramePr>
        <xdr:cNvPr id="4" name="Chart 3">
          <a:extLst>
            <a:ext uri="{FF2B5EF4-FFF2-40B4-BE49-F238E27FC236}">
              <a16:creationId xmlns:a16="http://schemas.microsoft.com/office/drawing/2014/main" id="{B9BB1461-E5B0-D1C7-BFA9-313D42A09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38100</xdr:colOff>
      <xdr:row>32</xdr:row>
      <xdr:rowOff>161925</xdr:rowOff>
    </xdr:from>
    <xdr:to>
      <xdr:col>19</xdr:col>
      <xdr:colOff>66675</xdr:colOff>
      <xdr:row>46</xdr:row>
      <xdr:rowOff>19050</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8DE77861-0B5F-89C7-AD31-1A534D39915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039350" y="6257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438150</xdr:colOff>
      <xdr:row>51</xdr:row>
      <xdr:rowOff>71437</xdr:rowOff>
    </xdr:from>
    <xdr:to>
      <xdr:col>15</xdr:col>
      <xdr:colOff>57150</xdr:colOff>
      <xdr:row>65</xdr:row>
      <xdr:rowOff>147637</xdr:rowOff>
    </xdr:to>
    <xdr:graphicFrame macro="">
      <xdr:nvGraphicFramePr>
        <xdr:cNvPr id="8" name="Chart 7">
          <a:extLst>
            <a:ext uri="{FF2B5EF4-FFF2-40B4-BE49-F238E27FC236}">
              <a16:creationId xmlns:a16="http://schemas.microsoft.com/office/drawing/2014/main" id="{B8EC79A8-0681-3D81-36FA-65DD786EE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438150</xdr:colOff>
      <xdr:row>66</xdr:row>
      <xdr:rowOff>52387</xdr:rowOff>
    </xdr:from>
    <xdr:to>
      <xdr:col>15</xdr:col>
      <xdr:colOff>57150</xdr:colOff>
      <xdr:row>80</xdr:row>
      <xdr:rowOff>128587</xdr:rowOff>
    </xdr:to>
    <xdr:graphicFrame macro="">
      <xdr:nvGraphicFramePr>
        <xdr:cNvPr id="10" name="Chart 9">
          <a:extLst>
            <a:ext uri="{FF2B5EF4-FFF2-40B4-BE49-F238E27FC236}">
              <a16:creationId xmlns:a16="http://schemas.microsoft.com/office/drawing/2014/main" id="{DFD84FBD-4D22-1DCD-E4ED-428881BF3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485775</xdr:colOff>
      <xdr:row>50</xdr:row>
      <xdr:rowOff>0</xdr:rowOff>
    </xdr:from>
    <xdr:to>
      <xdr:col>18</xdr:col>
      <xdr:colOff>514350</xdr:colOff>
      <xdr:row>63</xdr:row>
      <xdr:rowOff>47625</xdr:rowOff>
    </xdr:to>
    <mc:AlternateContent xmlns:mc="http://schemas.openxmlformats.org/markup-compatibility/2006">
      <mc:Choice xmlns:a14="http://schemas.microsoft.com/office/drawing/2010/main" Requires="a14">
        <xdr:graphicFrame macro="">
          <xdr:nvGraphicFramePr>
            <xdr:cNvPr id="11" name="Department 1">
              <a:extLst>
                <a:ext uri="{FF2B5EF4-FFF2-40B4-BE49-F238E27FC236}">
                  <a16:creationId xmlns:a16="http://schemas.microsoft.com/office/drawing/2014/main" id="{18B6D3E8-EAF6-DD99-CE80-C8278B5C8DC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886950" y="9525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64</xdr:row>
      <xdr:rowOff>133350</xdr:rowOff>
    </xdr:from>
    <xdr:to>
      <xdr:col>19</xdr:col>
      <xdr:colOff>104775</xdr:colOff>
      <xdr:row>77</xdr:row>
      <xdr:rowOff>180975</xdr:rowOff>
    </xdr:to>
    <mc:AlternateContent xmlns:mc="http://schemas.openxmlformats.org/markup-compatibility/2006">
      <mc:Choice xmlns:a14="http://schemas.microsoft.com/office/drawing/2010/main" Requires="a14">
        <xdr:graphicFrame macro="">
          <xdr:nvGraphicFramePr>
            <xdr:cNvPr id="12" name="Department 2">
              <a:extLst>
                <a:ext uri="{FF2B5EF4-FFF2-40B4-BE49-F238E27FC236}">
                  <a16:creationId xmlns:a16="http://schemas.microsoft.com/office/drawing/2014/main" id="{57ECA948-8B9F-D3EF-9A0E-493E562760D3}"/>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10077450" y="12325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533400</xdr:colOff>
      <xdr:row>87</xdr:row>
      <xdr:rowOff>28575</xdr:rowOff>
    </xdr:from>
    <xdr:to>
      <xdr:col>15</xdr:col>
      <xdr:colOff>152400</xdr:colOff>
      <xdr:row>101</xdr:row>
      <xdr:rowOff>104775</xdr:rowOff>
    </xdr:to>
    <xdr:graphicFrame macro="">
      <xdr:nvGraphicFramePr>
        <xdr:cNvPr id="13" name="Chart 12">
          <a:extLst>
            <a:ext uri="{FF2B5EF4-FFF2-40B4-BE49-F238E27FC236}">
              <a16:creationId xmlns:a16="http://schemas.microsoft.com/office/drawing/2014/main" id="{DA677EB5-E078-429E-8272-1B3B472DE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495300</xdr:colOff>
      <xdr:row>105</xdr:row>
      <xdr:rowOff>185737</xdr:rowOff>
    </xdr:from>
    <xdr:to>
      <xdr:col>15</xdr:col>
      <xdr:colOff>114300</xdr:colOff>
      <xdr:row>120</xdr:row>
      <xdr:rowOff>71437</xdr:rowOff>
    </xdr:to>
    <xdr:graphicFrame macro="">
      <xdr:nvGraphicFramePr>
        <xdr:cNvPr id="14" name="Chart 13">
          <a:extLst>
            <a:ext uri="{FF2B5EF4-FFF2-40B4-BE49-F238E27FC236}">
              <a16:creationId xmlns:a16="http://schemas.microsoft.com/office/drawing/2014/main" id="{B374704A-E139-60E8-67FB-0674A9F00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200025</xdr:colOff>
      <xdr:row>107</xdr:row>
      <xdr:rowOff>38100</xdr:rowOff>
    </xdr:from>
    <xdr:to>
      <xdr:col>20</xdr:col>
      <xdr:colOff>228600</xdr:colOff>
      <xdr:row>120</xdr:row>
      <xdr:rowOff>85725</xdr:rowOff>
    </xdr:to>
    <mc:AlternateContent xmlns:mc="http://schemas.openxmlformats.org/markup-compatibility/2006">
      <mc:Choice xmlns:a14="http://schemas.microsoft.com/office/drawing/2010/main" Requires="a14">
        <xdr:graphicFrame macro="">
          <xdr:nvGraphicFramePr>
            <xdr:cNvPr id="15" name="Department 3">
              <a:extLst>
                <a:ext uri="{FF2B5EF4-FFF2-40B4-BE49-F238E27FC236}">
                  <a16:creationId xmlns:a16="http://schemas.microsoft.com/office/drawing/2014/main" id="{C6B71A20-3FAB-DE94-7A51-09AF63AC2F0A}"/>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10801350" y="20421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600075</xdr:colOff>
      <xdr:row>5</xdr:row>
      <xdr:rowOff>19050</xdr:rowOff>
    </xdr:from>
    <xdr:to>
      <xdr:col>8</xdr:col>
      <xdr:colOff>542925</xdr:colOff>
      <xdr:row>20</xdr:row>
      <xdr:rowOff>76200</xdr:rowOff>
    </xdr:to>
    <xdr:graphicFrame macro="">
      <xdr:nvGraphicFramePr>
        <xdr:cNvPr id="2" name="Chart 1">
          <a:extLst>
            <a:ext uri="{FF2B5EF4-FFF2-40B4-BE49-F238E27FC236}">
              <a16:creationId xmlns:a16="http://schemas.microsoft.com/office/drawing/2014/main" id="{9565EA2E-8564-4CF5-8F05-77C89A267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600074</xdr:colOff>
      <xdr:row>0</xdr:row>
      <xdr:rowOff>66675</xdr:rowOff>
    </xdr:from>
    <xdr:to>
      <xdr:col>14</xdr:col>
      <xdr:colOff>342899</xdr:colOff>
      <xdr:row>3</xdr:row>
      <xdr:rowOff>66675</xdr:rowOff>
    </xdr:to>
    <xdr:sp macro="" textlink="">
      <xdr:nvSpPr>
        <xdr:cNvPr id="3" name="Scroll: Vertical 2">
          <a:extLst>
            <a:ext uri="{FF2B5EF4-FFF2-40B4-BE49-F238E27FC236}">
              <a16:creationId xmlns:a16="http://schemas.microsoft.com/office/drawing/2014/main" id="{77E902AC-C893-B640-20FB-DBBAB12A1FA8}"/>
            </a:ext>
          </a:extLst>
        </xdr:cNvPr>
        <xdr:cNvSpPr/>
      </xdr:nvSpPr>
      <xdr:spPr>
        <a:xfrm>
          <a:off x="3648074" y="66675"/>
          <a:ext cx="5229225" cy="838200"/>
        </a:xfrm>
        <a:prstGeom prst="verticalScroll">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                  </a:t>
          </a:r>
          <a:r>
            <a:rPr lang="en-IN" sz="2400" b="1"/>
            <a:t>Employee</a:t>
          </a:r>
          <a:r>
            <a:rPr lang="en-IN" sz="2400" b="1" baseline="0"/>
            <a:t> Details Analysis</a:t>
          </a:r>
          <a:endParaRPr lang="en-IN" sz="2400" b="1"/>
        </a:p>
      </xdr:txBody>
    </xdr:sp>
    <xdr:clientData/>
  </xdr:twoCellAnchor>
  <xdr:twoCellAnchor>
    <xdr:from>
      <xdr:col>10</xdr:col>
      <xdr:colOff>552450</xdr:colOff>
      <xdr:row>5</xdr:row>
      <xdr:rowOff>38099</xdr:rowOff>
    </xdr:from>
    <xdr:to>
      <xdr:col>18</xdr:col>
      <xdr:colOff>400050</xdr:colOff>
      <xdr:row>20</xdr:row>
      <xdr:rowOff>66675</xdr:rowOff>
    </xdr:to>
    <xdr:graphicFrame macro="">
      <xdr:nvGraphicFramePr>
        <xdr:cNvPr id="4" name="Chart 3">
          <a:extLst>
            <a:ext uri="{FF2B5EF4-FFF2-40B4-BE49-F238E27FC236}">
              <a16:creationId xmlns:a16="http://schemas.microsoft.com/office/drawing/2014/main" id="{5A6B670D-6C30-4F7A-B76E-BE3A24FB4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609599</xdr:colOff>
      <xdr:row>24</xdr:row>
      <xdr:rowOff>0</xdr:rowOff>
    </xdr:from>
    <xdr:to>
      <xdr:col>8</xdr:col>
      <xdr:colOff>533400</xdr:colOff>
      <xdr:row>40</xdr:row>
      <xdr:rowOff>38100</xdr:rowOff>
    </xdr:to>
    <xdr:graphicFrame macro="">
      <xdr:nvGraphicFramePr>
        <xdr:cNvPr id="5" name="Chart 4">
          <a:extLst>
            <a:ext uri="{FF2B5EF4-FFF2-40B4-BE49-F238E27FC236}">
              <a16:creationId xmlns:a16="http://schemas.microsoft.com/office/drawing/2014/main" id="{289FB122-7DD1-49AD-BD75-A76D4C4BE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390525</xdr:colOff>
      <xdr:row>24</xdr:row>
      <xdr:rowOff>0</xdr:rowOff>
    </xdr:from>
    <xdr:to>
      <xdr:col>18</xdr:col>
      <xdr:colOff>409575</xdr:colOff>
      <xdr:row>40</xdr:row>
      <xdr:rowOff>19050</xdr:rowOff>
    </xdr:to>
    <xdr:graphicFrame macro="">
      <xdr:nvGraphicFramePr>
        <xdr:cNvPr id="6" name="Chart 5">
          <a:extLst>
            <a:ext uri="{FF2B5EF4-FFF2-40B4-BE49-F238E27FC236}">
              <a16:creationId xmlns:a16="http://schemas.microsoft.com/office/drawing/2014/main" id="{DDE3259E-DDE4-4286-8A2C-5ABCA7694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44</xdr:row>
      <xdr:rowOff>0</xdr:rowOff>
    </xdr:from>
    <xdr:to>
      <xdr:col>8</xdr:col>
      <xdr:colOff>304800</xdr:colOff>
      <xdr:row>58</xdr:row>
      <xdr:rowOff>76200</xdr:rowOff>
    </xdr:to>
    <xdr:graphicFrame macro="">
      <xdr:nvGraphicFramePr>
        <xdr:cNvPr id="7" name="Chart 6">
          <a:extLst>
            <a:ext uri="{FF2B5EF4-FFF2-40B4-BE49-F238E27FC236}">
              <a16:creationId xmlns:a16="http://schemas.microsoft.com/office/drawing/2014/main" id="{ABAA14E1-42F5-490D-9531-8BB0277E0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485775</xdr:colOff>
      <xdr:row>43</xdr:row>
      <xdr:rowOff>66674</xdr:rowOff>
    </xdr:from>
    <xdr:to>
      <xdr:col>19</xdr:col>
      <xdr:colOff>152400</xdr:colOff>
      <xdr:row>58</xdr:row>
      <xdr:rowOff>171449</xdr:rowOff>
    </xdr:to>
    <xdr:graphicFrame macro="">
      <xdr:nvGraphicFramePr>
        <xdr:cNvPr id="8" name="Chart 7">
          <a:extLst>
            <a:ext uri="{FF2B5EF4-FFF2-40B4-BE49-F238E27FC236}">
              <a16:creationId xmlns:a16="http://schemas.microsoft.com/office/drawing/2014/main" id="{165DA452-BFA5-4C5E-95F0-6F9D94634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600075</xdr:colOff>
      <xdr:row>61</xdr:row>
      <xdr:rowOff>95250</xdr:rowOff>
    </xdr:from>
    <xdr:to>
      <xdr:col>8</xdr:col>
      <xdr:colOff>447675</xdr:colOff>
      <xdr:row>75</xdr:row>
      <xdr:rowOff>76200</xdr:rowOff>
    </xdr:to>
    <xdr:graphicFrame macro="">
      <xdr:nvGraphicFramePr>
        <xdr:cNvPr id="9" name="Chart 8">
          <a:extLst>
            <a:ext uri="{FF2B5EF4-FFF2-40B4-BE49-F238E27FC236}">
              <a16:creationId xmlns:a16="http://schemas.microsoft.com/office/drawing/2014/main" id="{2619BB5D-048E-4DA9-BC62-BB251462D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257175</xdr:colOff>
      <xdr:row>2</xdr:row>
      <xdr:rowOff>19050</xdr:rowOff>
    </xdr:from>
    <xdr:to>
      <xdr:col>23</xdr:col>
      <xdr:colOff>228600</xdr:colOff>
      <xdr:row>5</xdr:row>
      <xdr:rowOff>180975</xdr:rowOff>
    </xdr:to>
    <xdr:sp macro="" textlink="">
      <xdr:nvSpPr>
        <xdr:cNvPr id="10" name="Arrow: Pentagon 9">
          <a:extLst>
            <a:ext uri="{FF2B5EF4-FFF2-40B4-BE49-F238E27FC236}">
              <a16:creationId xmlns:a16="http://schemas.microsoft.com/office/drawing/2014/main" id="{03EEEDC7-CDF2-447B-AA4D-99A7C523EE4F}"/>
            </a:ext>
          </a:extLst>
        </xdr:cNvPr>
        <xdr:cNvSpPr/>
      </xdr:nvSpPr>
      <xdr:spPr>
        <a:xfrm>
          <a:off x="12449175" y="666750"/>
          <a:ext cx="1800225" cy="7334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u="none" strike="noStrike">
              <a:solidFill>
                <a:schemeClr val="lt1"/>
              </a:solidFill>
              <a:effectLst/>
              <a:latin typeface="+mn-lt"/>
              <a:ea typeface="+mn-ea"/>
              <a:cs typeface="+mn-cs"/>
            </a:rPr>
            <a:t>   Avg_ salary</a:t>
          </a:r>
          <a:r>
            <a:rPr lang="en-IN" sz="1400">
              <a:effectLst/>
            </a:rPr>
            <a:t> </a:t>
          </a:r>
          <a:r>
            <a:rPr lang="en-IN" sz="1400" b="0" i="0" u="none" strike="noStrike">
              <a:solidFill>
                <a:schemeClr val="lt1"/>
              </a:solidFill>
              <a:effectLst/>
              <a:latin typeface="+mn-lt"/>
              <a:ea typeface="+mn-ea"/>
              <a:cs typeface="+mn-cs"/>
            </a:rPr>
            <a:t> </a:t>
          </a:r>
          <a:r>
            <a:rPr lang="en-IN" sz="1400">
              <a:effectLst/>
            </a:rPr>
            <a:t> </a:t>
          </a:r>
          <a:endParaRPr lang="en-IN" sz="1400" b="0" i="0" u="none" strike="noStrike">
            <a:solidFill>
              <a:schemeClr val="lt1"/>
            </a:solidFill>
            <a:effectLst/>
            <a:latin typeface="+mn-lt"/>
            <a:ea typeface="+mn-ea"/>
            <a:cs typeface="+mn-cs"/>
          </a:endParaRPr>
        </a:p>
        <a:p>
          <a:pPr algn="l"/>
          <a:r>
            <a:rPr lang="en-IN" sz="1400" b="1" i="0" u="none" strike="noStrike">
              <a:solidFill>
                <a:schemeClr val="bg1"/>
              </a:solidFill>
              <a:effectLst/>
              <a:latin typeface="+mn-lt"/>
              <a:ea typeface="+mn-ea"/>
              <a:cs typeface="+mn-cs"/>
            </a:rPr>
            <a:t>        74,674</a:t>
          </a:r>
          <a:r>
            <a:rPr lang="en-IN" sz="1400" b="0" i="0" u="none" strike="noStrike">
              <a:solidFill>
                <a:schemeClr val="lt1"/>
              </a:solidFill>
              <a:effectLst/>
              <a:latin typeface="+mn-lt"/>
              <a:ea typeface="+mn-ea"/>
              <a:cs typeface="+mn-cs"/>
            </a:rPr>
            <a:t>          </a:t>
          </a:r>
          <a:endParaRPr lang="en-IN" sz="1400"/>
        </a:p>
      </xdr:txBody>
    </xdr:sp>
    <xdr:clientData/>
  </xdr:twoCellAnchor>
  <xdr:twoCellAnchor>
    <xdr:from>
      <xdr:col>20</xdr:col>
      <xdr:colOff>238125</xdr:colOff>
      <xdr:row>7</xdr:row>
      <xdr:rowOff>47625</xdr:rowOff>
    </xdr:from>
    <xdr:to>
      <xdr:col>23</xdr:col>
      <xdr:colOff>171450</xdr:colOff>
      <xdr:row>11</xdr:row>
      <xdr:rowOff>95250</xdr:rowOff>
    </xdr:to>
    <xdr:sp macro="" textlink="">
      <xdr:nvSpPr>
        <xdr:cNvPr id="13" name="Arrow: Pentagon 12">
          <a:extLst>
            <a:ext uri="{FF2B5EF4-FFF2-40B4-BE49-F238E27FC236}">
              <a16:creationId xmlns:a16="http://schemas.microsoft.com/office/drawing/2014/main" id="{BCAFFD97-295A-D0A8-96BB-ACF90DDAF58B}"/>
            </a:ext>
          </a:extLst>
        </xdr:cNvPr>
        <xdr:cNvSpPr/>
      </xdr:nvSpPr>
      <xdr:spPr>
        <a:xfrm>
          <a:off x="12430125" y="1647825"/>
          <a:ext cx="1762125" cy="8096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Highest salary         1,18170  </a:t>
          </a:r>
        </a:p>
      </xdr:txBody>
    </xdr:sp>
    <xdr:clientData/>
  </xdr:twoCellAnchor>
  <xdr:twoCellAnchor>
    <xdr:from>
      <xdr:col>20</xdr:col>
      <xdr:colOff>200025</xdr:colOff>
      <xdr:row>13</xdr:row>
      <xdr:rowOff>9526</xdr:rowOff>
    </xdr:from>
    <xdr:to>
      <xdr:col>23</xdr:col>
      <xdr:colOff>133350</xdr:colOff>
      <xdr:row>17</xdr:row>
      <xdr:rowOff>47626</xdr:rowOff>
    </xdr:to>
    <xdr:sp macro="" textlink="">
      <xdr:nvSpPr>
        <xdr:cNvPr id="16" name="Arrow: Pentagon 15">
          <a:extLst>
            <a:ext uri="{FF2B5EF4-FFF2-40B4-BE49-F238E27FC236}">
              <a16:creationId xmlns:a16="http://schemas.microsoft.com/office/drawing/2014/main" id="{10C3F8A5-077B-A8DF-2ACA-F10A09DC44A5}"/>
            </a:ext>
          </a:extLst>
        </xdr:cNvPr>
        <xdr:cNvSpPr/>
      </xdr:nvSpPr>
      <xdr:spPr>
        <a:xfrm>
          <a:off x="12392025" y="2752726"/>
          <a:ext cx="1762125" cy="800100"/>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Lowest salary   30,402</a:t>
          </a:r>
          <a:r>
            <a:rPr lang="en-IN" sz="1400" b="1" baseline="0"/>
            <a:t>                </a:t>
          </a:r>
          <a:endParaRPr lang="en-IN" sz="1100"/>
        </a:p>
      </xdr:txBody>
    </xdr:sp>
    <xdr:clientData/>
  </xdr:twoCellAnchor>
  <xdr:twoCellAnchor>
    <xdr:from>
      <xdr:col>20</xdr:col>
      <xdr:colOff>161925</xdr:colOff>
      <xdr:row>18</xdr:row>
      <xdr:rowOff>76200</xdr:rowOff>
    </xdr:from>
    <xdr:to>
      <xdr:col>23</xdr:col>
      <xdr:colOff>133350</xdr:colOff>
      <xdr:row>22</xdr:row>
      <xdr:rowOff>9525</xdr:rowOff>
    </xdr:to>
    <xdr:sp macro="" textlink="">
      <xdr:nvSpPr>
        <xdr:cNvPr id="17" name="Arrow: Pentagon 16">
          <a:extLst>
            <a:ext uri="{FF2B5EF4-FFF2-40B4-BE49-F238E27FC236}">
              <a16:creationId xmlns:a16="http://schemas.microsoft.com/office/drawing/2014/main" id="{F5BDFC82-6DC8-584C-5ED6-F140F261DF01}"/>
            </a:ext>
          </a:extLst>
        </xdr:cNvPr>
        <xdr:cNvSpPr/>
      </xdr:nvSpPr>
      <xdr:spPr>
        <a:xfrm>
          <a:off x="12353925" y="3771900"/>
          <a:ext cx="1800225" cy="6953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Total</a:t>
          </a:r>
          <a:r>
            <a:rPr lang="en-IN" sz="1400" b="1" baseline="0"/>
            <a:t>  count 97</a:t>
          </a:r>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5.643011574073" createdVersion="8" refreshedVersion="8" minRefreshableVersion="3" recordCount="97" xr:uid="{2FB67A1A-90C2-43D5-ACCA-6ABF05AEC385}">
  <cacheSource type="worksheet">
    <worksheetSource name="Sheet1"/>
  </cacheSource>
  <cacheFields count="17">
    <cacheField name="Employee ID" numFmtId="0">
      <sharedItems count="97">
        <s v="EMP1128"/>
        <s v="EMP1050"/>
        <s v="EMP1110"/>
        <s v="EMP1094"/>
        <s v="EMP1007"/>
        <s v="EMP1041"/>
        <s v="EMP1063"/>
        <s v="EMP1065"/>
        <s v="EMP1086"/>
        <s v="EMP1043"/>
        <s v="EMP1023"/>
        <s v="EMP1017"/>
        <s v="EMP1085"/>
        <s v="EMP1082"/>
        <s v="EMP1132"/>
        <s v="EMP1027"/>
        <s v="EMP1022"/>
        <s v="EMP1102"/>
        <s v="EMP1051"/>
        <s v="EMP1113"/>
        <s v="EMP1121"/>
        <s v="EMP1028"/>
        <s v="EMP1039"/>
        <s v="EMP1106"/>
        <s v="EMP1001"/>
        <s v="EMP1122"/>
        <s v="EMP1025"/>
        <s v="EMP1056"/>
        <s v="EMP1124"/>
        <s v="EMP1038"/>
        <s v="EMP1014"/>
        <s v="EMP1004"/>
        <s v="EMP1010"/>
        <s v="EMP1042"/>
        <s v="EMP1147"/>
        <s v="EMP1002"/>
        <s v="EMP1108"/>
        <s v="EMP1047"/>
        <s v="EMP1067"/>
        <s v="EMP1077"/>
        <s v="EMP1079"/>
        <s v="EMP1020"/>
        <s v="EMP1100"/>
        <s v="EMP1088"/>
        <s v="EMP1037"/>
        <s v="EMP1013"/>
        <s v="EMP1117"/>
        <s v="EMP1040"/>
        <s v="EMP1069"/>
        <s v="EMP1098"/>
        <s v="EMP1126"/>
        <s v="EMP1060"/>
        <s v="EMP1120"/>
        <s v="EMP1096"/>
        <s v="EMP1026"/>
        <s v="EMP1099"/>
        <s v="EMP1018"/>
        <s v="EMP1019"/>
        <s v="EMP1044"/>
        <s v="EMP1078"/>
        <s v="EMP1005"/>
        <s v="EMP1064"/>
        <s v="EMP1034"/>
        <s v="EMP1093"/>
        <s v="EMP1109"/>
        <s v="EMP1097"/>
        <s v="EMP1055"/>
        <s v="EMP1054"/>
        <s v="EMP1024"/>
        <s v="EMP1030"/>
        <s v="EMP1137"/>
        <s v="EMP1071"/>
        <s v="EMP1003"/>
        <s v="EMP1075"/>
        <s v="EMP1036"/>
        <s v="EMP1144"/>
        <s v="EMP1016"/>
        <s v="EMP1143"/>
        <s v="EMP1009"/>
        <s v="EMP1031"/>
        <s v="EMP1015"/>
        <s v="EMP1058"/>
        <s v="EMP1046"/>
        <s v="EMP1118"/>
        <s v="EMP1033"/>
        <s v="EMP1032"/>
        <s v="EMP1081"/>
        <s v="EMP1095"/>
        <s v="EMP1066"/>
        <s v="EMP1008"/>
        <s v="EMP1125"/>
        <s v="EMP1011"/>
        <s v="EMP1083"/>
        <s v="EMP1029"/>
        <s v="EMP1021"/>
        <s v="EMP1062"/>
        <s v="EMP1149"/>
      </sharedItems>
    </cacheField>
    <cacheField name="Name" numFmtId="0">
      <sharedItems/>
    </cacheField>
    <cacheField name="Department" numFmtId="0">
      <sharedItems count="5">
        <s v="Sales"/>
        <s v="Marketing"/>
        <s v="IT"/>
        <s v="HR"/>
        <s v="Finance"/>
      </sharedItems>
    </cacheField>
    <cacheField name="Country" numFmtId="0">
      <sharedItems count="5">
        <s v="USA"/>
        <s v="India"/>
        <s v="Germany"/>
        <s v="Australia"/>
        <s v="UK"/>
      </sharedItems>
    </cacheField>
    <cacheField name="Salary" numFmtId="166">
      <sharedItems containsSemiMixedTypes="0" containsString="0" containsNumber="1" containsInteger="1" minValue="30402" maxValue="99621"/>
    </cacheField>
    <cacheField name="Date of Joining" numFmtId="14">
      <sharedItems containsSemiMixedTypes="0" containsNonDate="0" containsDate="1" containsString="0" minDate="2015-01-11T00:00:00" maxDate="2017-11-13T00:00:00" count="91">
        <d v="2017-06-18T00:00:00"/>
        <d v="2016-08-07T00:00:00"/>
        <d v="2016-10-23T00:00:00"/>
        <d v="2015-02-22T00:00:00"/>
        <d v="2015-10-18T00:00:00"/>
        <d v="2016-03-20T00:00:00"/>
        <d v="2016-04-03T00:00:00"/>
        <d v="2016-08-28T00:00:00"/>
        <d v="2015-11-01T00:00:00"/>
        <d v="2015-06-14T00:00:00"/>
        <d v="2015-05-03T00:00:00"/>
        <d v="2016-08-21T00:00:00"/>
        <d v="2016-07-31T00:00:00"/>
        <d v="2017-07-16T00:00:00"/>
        <d v="2015-07-12T00:00:00"/>
        <d v="2015-06-07T00:00:00"/>
        <d v="2016-12-18T00:00:00"/>
        <d v="2015-12-27T00:00:00"/>
        <d v="2017-03-05T00:00:00"/>
        <d v="2017-04-30T00:00:00"/>
        <d v="2015-07-19T00:00:00"/>
        <d v="2015-10-04T00:00:00"/>
        <d v="2017-01-15T00:00:00"/>
        <d v="2015-01-11T00:00:00"/>
        <d v="2017-05-07T00:00:00"/>
        <d v="2015-06-28T00:00:00"/>
        <d v="2016-01-31T00:00:00"/>
        <d v="2017-05-21T00:00:00"/>
        <d v="2015-09-27T00:00:00"/>
        <d v="2015-04-12T00:00:00"/>
        <d v="2015-02-01T00:00:00"/>
        <d v="2015-03-15T00:00:00"/>
        <d v="2015-10-25T00:00:00"/>
        <d v="2017-10-29T00:00:00"/>
        <d v="2015-01-18T00:00:00"/>
        <d v="2017-01-29T00:00:00"/>
        <d v="2015-11-29T00:00:00"/>
        <d v="2016-04-17T00:00:00"/>
        <d v="2016-06-26T00:00:00"/>
        <d v="2016-07-10T00:00:00"/>
        <d v="2015-05-24T00:00:00"/>
        <d v="2016-12-04T00:00:00"/>
        <d v="2016-09-11T00:00:00"/>
        <d v="2015-09-20T00:00:00"/>
        <d v="2015-04-05T00:00:00"/>
        <d v="2017-04-02T00:00:00"/>
        <d v="2016-05-01T00:00:00"/>
        <d v="2016-11-20T00:00:00"/>
        <d v="2017-06-04T00:00:00"/>
        <d v="2016-11-06T00:00:00"/>
        <d v="2015-07-05T00:00:00"/>
        <d v="2016-11-27T00:00:00"/>
        <d v="2015-05-10T00:00:00"/>
        <d v="2015-05-17T00:00:00"/>
        <d v="2015-11-08T00:00:00"/>
        <d v="2016-07-03T00:00:00"/>
        <d v="2015-02-08T00:00:00"/>
        <d v="2016-03-27T00:00:00"/>
        <d v="2015-08-30T00:00:00"/>
        <d v="2016-10-16T00:00:00"/>
        <d v="2017-02-05T00:00:00"/>
        <d v="2016-11-13T00:00:00"/>
        <d v="2016-01-24T00:00:00"/>
        <d v="2016-01-17T00:00:00"/>
        <d v="2015-06-21T00:00:00"/>
        <d v="2017-08-20T00:00:00"/>
        <d v="2016-05-15T00:00:00"/>
        <d v="2015-01-25T00:00:00"/>
        <d v="2016-06-12T00:00:00"/>
        <d v="2015-09-13T00:00:00"/>
        <d v="2017-10-08T00:00:00"/>
        <d v="2015-04-26T00:00:00"/>
        <d v="2017-10-01T00:00:00"/>
        <d v="2015-03-08T00:00:00"/>
        <d v="2015-08-09T00:00:00"/>
        <d v="2015-04-19T00:00:00"/>
        <d v="2016-02-14T00:00:00"/>
        <d v="2015-11-22T00:00:00"/>
        <d v="2017-04-09T00:00:00"/>
        <d v="2015-08-23T00:00:00"/>
        <d v="2015-08-16T00:00:00"/>
        <d v="2016-07-24T00:00:00"/>
        <d v="2016-10-30T00:00:00"/>
        <d v="2016-04-10T00:00:00"/>
        <d v="2015-03-01T00:00:00"/>
        <d v="2017-05-28T00:00:00"/>
        <d v="2015-03-22T00:00:00"/>
        <d v="2015-07-26T00:00:00"/>
        <d v="2015-05-31T00:00:00"/>
        <d v="2016-03-13T00:00:00"/>
        <d v="2017-11-12T00:00:00"/>
      </sharedItems>
      <fieldGroup par="16"/>
    </cacheField>
    <cacheField name="Performance Rating" numFmtId="0">
      <sharedItems containsSemiMixedTypes="0" containsString="0" containsNumber="1" containsInteger="1" minValue="1" maxValue="5" count="5">
        <n v="1"/>
        <n v="2"/>
        <n v="3"/>
        <n v="4"/>
        <n v="5"/>
      </sharedItems>
    </cacheField>
    <cacheField name="Gender" numFmtId="0">
      <sharedItems count="4">
        <s v="Unknown"/>
        <s v="Female"/>
        <s v="Other"/>
        <s v="Male"/>
      </sharedItems>
    </cacheField>
    <cacheField name="Email" numFmtId="0">
      <sharedItems/>
    </cacheField>
    <cacheField name="Commision" numFmtId="0">
      <sharedItems containsSemiMixedTypes="0" containsString="0" containsNumber="1" minValue="0" maxValue="19695"/>
    </cacheField>
    <cacheField name="Total_salary" numFmtId="166">
      <sharedItems containsSemiMixedTypes="0" containsString="0" containsNumber="1" minValue="30402" maxValue="118170"/>
    </cacheField>
    <cacheField name="Joining_year" numFmtId="0">
      <sharedItems containsSemiMixedTypes="0" containsString="0" containsNumber="1" containsInteger="1" minValue="2015" maxValue="2017" count="3">
        <n v="2017"/>
        <n v="2016"/>
        <n v="2015"/>
      </sharedItems>
    </cacheField>
    <cacheField name="Joining _month" numFmtId="0">
      <sharedItems containsSemiMixedTypes="0" containsString="0" containsNumber="1" containsInteger="1" minValue="1" maxValue="12"/>
    </cacheField>
    <cacheField name="Tenure" numFmtId="0">
      <sharedItems containsSemiMixedTypes="0" containsString="0" containsNumber="1" containsInteger="1" minValue="8" maxValue="11"/>
    </cacheField>
    <cacheField name="Months (Date of Joining)" numFmtId="0" databaseField="0">
      <fieldGroup base="5">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5">
        <rangePr groupBy="quarters" startDate="2015-01-11T00:00:00" endDate="2017-11-13T00:00:00"/>
        <groupItems count="6">
          <s v="&lt;11-01-2015"/>
          <s v="Qtr1"/>
          <s v="Qtr2"/>
          <s v="Qtr3"/>
          <s v="Qtr4"/>
          <s v="&gt;13-11-2017"/>
        </groupItems>
      </fieldGroup>
    </cacheField>
    <cacheField name="Years (Date of Joining)" numFmtId="0" databaseField="0">
      <fieldGroup base="5">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pivotCacheId="4475319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719227430556" backgroundQuery="1" createdVersion="8" refreshedVersion="8" minRefreshableVersion="3" recordCount="0" supportSubquery="1" supportAdvancedDrill="1" xr:uid="{FC599FC8-A021-463D-8A30-1D064122A72E}">
  <cacheSource type="external" connectionId="3"/>
  <cacheFields count="2">
    <cacheField name="[Sheet1 1].[Joining_year].[Joining_year]" caption="Joining_year" numFmtId="0" hierarchy="2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Sheet1 1].[Joining_year].&amp;[2015]"/>
            <x15:cachedUniqueName index="1" name="[Sheet1 1].[Joining_year].&amp;[2016]"/>
            <x15:cachedUniqueName index="2" name="[Sheet1 1].[Joining_year].&amp;[2017]"/>
          </x15:cachedUniqueNames>
        </ext>
      </extLst>
    </cacheField>
    <cacheField name="[Measures].[Count of Employee ID]" caption="Count of Employee ID" numFmtId="0" hierarchy="27" level="32767"/>
  </cacheFields>
  <cacheHierarchies count="30">
    <cacheHierarchy uniqueName="[Sheet1].[Employee ID]" caption="Employee ID" attribute="1" defaultMemberUniqueName="[Sheet1].[Employee ID].[All]" allUniqueName="[Sheet1].[Employee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epartment]" caption="Department" attribute="1" defaultMemberUniqueName="[Sheet1].[Department].[All]" allUniqueName="[Sheet1].[Department].[All]" dimensionUniqueName="[Sheet1]" displayFolder="" count="0" memberValueDatatype="130" unbalanced="0"/>
    <cacheHierarchy uniqueName="[Sheet1].[Country]" caption="Country" attribute="1" defaultMemberUniqueName="[Sheet1].[Country].[All]" allUniqueName="[Sheet1].[Country].[All]" dimensionUniqueName="[Sheet1]" displayFolder="" count="0" memberValueDatatype="130" unbalanced="0"/>
    <cacheHierarchy uniqueName="[Sheet1].[Salary]" caption="Salary" attribute="1" defaultMemberUniqueName="[Sheet1].[Salary].[All]" allUniqueName="[Sheet1].[Salary].[All]" dimensionUniqueName="[Sheet1]" displayFolder="" count="0" memberValueDatatype="5"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Performance Rating]" caption="Performance Rating" attribute="1" defaultMemberUniqueName="[Sheet1].[Performance Rating].[All]" allUniqueName="[Sheet1].[Performance Rating].[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Email]" caption="Email" attribute="1" defaultMemberUniqueName="[Sheet1].[Email].[All]" allUniqueName="[Sheet1].[Email].[All]" dimensionUniqueName="[Sheet1]" displayFolder="" count="0" memberValueDatatype="130" unbalanced="0"/>
    <cacheHierarchy uniqueName="[Sheet1].[Custom]" caption="Custom" attribute="1" defaultMemberUniqueName="[Sheet1].[Custom].[All]" allUniqueName="[Sheet1].[Custom].[All]" dimensionUniqueName="[Sheet1]" displayFolder="" count="0" memberValueDatatype="130" unbalanced="0"/>
    <cacheHierarchy uniqueName="[Sheet1 1].[Employee ID]" caption="Employee ID" attribute="1" defaultMemberUniqueName="[Sheet1 1].[Employee ID].[All]" allUniqueName="[Sheet1 1].[Employee ID].[All]" dimensionUniqueName="[Sheet1 1]" displayFolder="" count="0" memberValueDatatype="130" unbalanced="0"/>
    <cacheHierarchy uniqueName="[Sheet1 1].[Name]" caption="Name" attribute="1" defaultMemberUniqueName="[Sheet1 1].[Name].[All]" allUniqueName="[Sheet1 1].[Name].[All]" dimensionUniqueName="[Sheet1 1]" displayFolder="" count="0" memberValueDatatype="130" unbalanced="0"/>
    <cacheHierarchy uniqueName="[Sheet1 1].[Department]" caption="Department" attribute="1" defaultMemberUniqueName="[Sheet1 1].[Department].[All]" allUniqueName="[Sheet1 1].[Department].[All]" dimensionUniqueName="[Sheet1 1]" displayFolder="" count="0" memberValueDatatype="130" unbalanced="0"/>
    <cacheHierarchy uniqueName="[Sheet1 1].[Country]" caption="Country" attribute="1" defaultMemberUniqueName="[Sheet1 1].[Country].[All]" allUniqueName="[Sheet1 1].[Country].[All]" dimensionUniqueName="[Sheet1 1]" displayFolder="" count="0" memberValueDatatype="130" unbalanced="0"/>
    <cacheHierarchy uniqueName="[Sheet1 1].[Salary]" caption="Salary" attribute="1" defaultMemberUniqueName="[Sheet1 1].[Salary].[All]" allUniqueName="[Sheet1 1].[Salary].[All]" dimensionUniqueName="[Sheet1 1]" displayFolder="" count="0" memberValueDatatype="20" unbalanced="0"/>
    <cacheHierarchy uniqueName="[Sheet1 1].[Date of Joining]" caption="Date of Joining" attribute="1" time="1" defaultMemberUniqueName="[Sheet1 1].[Date of Joining].[All]" allUniqueName="[Sheet1 1].[Date of Joining].[All]" dimensionUniqueName="[Sheet1 1]" displayFolder="" count="0" memberValueDatatype="7" unbalanced="0"/>
    <cacheHierarchy uniqueName="[Sheet1 1].[Performance Rating]" caption="Performance Rating" attribute="1" defaultMemberUniqueName="[Sheet1 1].[Performance Rating].[All]" allUniqueName="[Sheet1 1].[Performance Rating].[All]" dimensionUniqueName="[Sheet1 1]" displayFolder="" count="0" memberValueDatatype="20" unbalanced="0"/>
    <cacheHierarchy uniqueName="[Sheet1 1].[Gender]" caption="Gender" attribute="1" defaultMemberUniqueName="[Sheet1 1].[Gender].[All]" allUniqueName="[Sheet1 1].[Gender].[All]" dimensionUniqueName="[Sheet1 1]" displayFolder="" count="0" memberValueDatatype="130" unbalanced="0"/>
    <cacheHierarchy uniqueName="[Sheet1 1].[Email]" caption="Email" attribute="1" defaultMemberUniqueName="[Sheet1 1].[Email].[All]" allUniqueName="[Sheet1 1].[Email].[All]" dimensionUniqueName="[Sheet1 1]" displayFolder="" count="0" memberValueDatatype="130" unbalanced="0"/>
    <cacheHierarchy uniqueName="[Sheet1 1].[Commision]" caption="Commision" attribute="1" defaultMemberUniqueName="[Sheet1 1].[Commision].[All]" allUniqueName="[Sheet1 1].[Commision].[All]" dimensionUniqueName="[Sheet1 1]" displayFolder="" count="0" memberValueDatatype="5" unbalanced="0"/>
    <cacheHierarchy uniqueName="[Sheet1 1].[Total_salary]" caption="Total_salary" attribute="1" defaultMemberUniqueName="[Sheet1 1].[Total_salary].[All]" allUniqueName="[Sheet1 1].[Total_salary].[All]" dimensionUniqueName="[Sheet1 1]" displayFolder="" count="0" memberValueDatatype="5" unbalanced="0"/>
    <cacheHierarchy uniqueName="[Sheet1 1].[Joining_year]" caption="Joining_year" attribute="1" defaultMemberUniqueName="[Sheet1 1].[Joining_year].[All]" allUniqueName="[Sheet1 1].[Joining_year].[All]" dimensionUniqueName="[Sheet1 1]" displayFolder="" count="2" memberValueDatatype="20" unbalanced="0">
      <fieldsUsage count="2">
        <fieldUsage x="-1"/>
        <fieldUsage x="0"/>
      </fieldsUsage>
    </cacheHierarchy>
    <cacheHierarchy uniqueName="[Sheet1 1].[Joining _month]" caption="Joining _month" attribute="1" defaultMemberUniqueName="[Sheet1 1].[Joining _month].[All]" allUniqueName="[Sheet1 1].[Joining _month].[All]" dimensionUniqueName="[Sheet1 1]" displayFolder="" count="0" memberValueDatatype="20" unbalanced="0"/>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Sum of Joining_year]" caption="Sum of Joining_year" measure="1" displayFolder="" measureGroup="Sheet1 1" count="0" hidden="1">
      <extLst>
        <ext xmlns:x15="http://schemas.microsoft.com/office/spreadsheetml/2010/11/main" uri="{B97F6D7D-B522-45F9-BDA1-12C45D357490}">
          <x15:cacheHierarchy aggregatedColumn="21"/>
        </ext>
      </extLst>
    </cacheHierarchy>
    <cacheHierarchy uniqueName="[Measures].[Count of Employee ID]" caption="Count of Employee ID" measure="1" displayFolder="" measureGroup="Sheet1 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ary]" caption="Sum of Salary" measure="1" displayFolder="" measureGroup="Sheet1 1" count="0" hidden="1">
      <extLst>
        <ext xmlns:x15="http://schemas.microsoft.com/office/spreadsheetml/2010/11/main" uri="{B97F6D7D-B522-45F9-BDA1-12C45D357490}">
          <x15:cacheHierarchy aggregatedColumn="14"/>
        </ext>
      </extLst>
    </cacheHierarchy>
    <cacheHierarchy uniqueName="[Measures].[Count of Salary]" caption="Count of Salary" measure="1" displayFolder="" measureGroup="Sheet1 1"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5.719228819442" backgroundQuery="1" createdVersion="8" refreshedVersion="8" minRefreshableVersion="3" recordCount="0" supportSubquery="1" supportAdvancedDrill="1" xr:uid="{886C317E-C47A-4832-B3FB-A0B40DEEF753}">
  <cacheSource type="external" connectionId="3"/>
  <cacheFields count="3">
    <cacheField name="[Sheet1 1].[Department].[Department]" caption="Department" numFmtId="0" hierarchy="12" level="1">
      <sharedItems count="5">
        <s v="Finance"/>
        <s v="HR"/>
        <s v="IT"/>
        <s v="Marketing"/>
        <s v="Sales"/>
      </sharedItems>
    </cacheField>
    <cacheField name="[Sheet1 1].[Country].[Country]" caption="Country" numFmtId="0" hierarchy="13" level="1">
      <sharedItems count="5">
        <s v="Australia"/>
        <s v="Germany"/>
        <s v="India"/>
        <s v="UK"/>
        <s v="USA"/>
      </sharedItems>
    </cacheField>
    <cacheField name="[Measures].[Count of Salary]" caption="Count of Salary" numFmtId="0" hierarchy="29" level="32767"/>
  </cacheFields>
  <cacheHierarchies count="30">
    <cacheHierarchy uniqueName="[Sheet1].[Employee ID]" caption="Employee ID" attribute="1" defaultMemberUniqueName="[Sheet1].[Employee ID].[All]" allUniqueName="[Sheet1].[Employee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epartment]" caption="Department" attribute="1" defaultMemberUniqueName="[Sheet1].[Department].[All]" allUniqueName="[Sheet1].[Department].[All]" dimensionUniqueName="[Sheet1]" displayFolder="" count="0" memberValueDatatype="130" unbalanced="0"/>
    <cacheHierarchy uniqueName="[Sheet1].[Country]" caption="Country" attribute="1" defaultMemberUniqueName="[Sheet1].[Country].[All]" allUniqueName="[Sheet1].[Country].[All]" dimensionUniqueName="[Sheet1]" displayFolder="" count="0" memberValueDatatype="130" unbalanced="0"/>
    <cacheHierarchy uniqueName="[Sheet1].[Salary]" caption="Salary" attribute="1" defaultMemberUniqueName="[Sheet1].[Salary].[All]" allUniqueName="[Sheet1].[Salary].[All]" dimensionUniqueName="[Sheet1]" displayFolder="" count="0" memberValueDatatype="5"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Performance Rating]" caption="Performance Rating" attribute="1" defaultMemberUniqueName="[Sheet1].[Performance Rating].[All]" allUniqueName="[Sheet1].[Performance Rating].[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Email]" caption="Email" attribute="1" defaultMemberUniqueName="[Sheet1].[Email].[All]" allUniqueName="[Sheet1].[Email].[All]" dimensionUniqueName="[Sheet1]" displayFolder="" count="0" memberValueDatatype="130" unbalanced="0"/>
    <cacheHierarchy uniqueName="[Sheet1].[Custom]" caption="Custom" attribute="1" defaultMemberUniqueName="[Sheet1].[Custom].[All]" allUniqueName="[Sheet1].[Custom].[All]" dimensionUniqueName="[Sheet1]" displayFolder="" count="0" memberValueDatatype="130" unbalanced="0"/>
    <cacheHierarchy uniqueName="[Sheet1 1].[Employee ID]" caption="Employee ID" attribute="1" defaultMemberUniqueName="[Sheet1 1].[Employee ID].[All]" allUniqueName="[Sheet1 1].[Employee ID].[All]" dimensionUniqueName="[Sheet1 1]" displayFolder="" count="0" memberValueDatatype="130" unbalanced="0"/>
    <cacheHierarchy uniqueName="[Sheet1 1].[Name]" caption="Name" attribute="1" defaultMemberUniqueName="[Sheet1 1].[Name].[All]" allUniqueName="[Sheet1 1].[Name].[All]" dimensionUniqueName="[Sheet1 1]" displayFolder="" count="0" memberValueDatatype="130" unbalanced="0"/>
    <cacheHierarchy uniqueName="[Sheet1 1].[Department]" caption="Department" attribute="1" defaultMemberUniqueName="[Sheet1 1].[Department].[All]" allUniqueName="[Sheet1 1].[Department].[All]" dimensionUniqueName="[Sheet1 1]" displayFolder="" count="2" memberValueDatatype="130" unbalanced="0">
      <fieldsUsage count="2">
        <fieldUsage x="-1"/>
        <fieldUsage x="0"/>
      </fieldsUsage>
    </cacheHierarchy>
    <cacheHierarchy uniqueName="[Sheet1 1].[Country]" caption="Country" attribute="1" defaultMemberUniqueName="[Sheet1 1].[Country].[All]" allUniqueName="[Sheet1 1].[Country].[All]" dimensionUniqueName="[Sheet1 1]" displayFolder="" count="2" memberValueDatatype="130" unbalanced="0">
      <fieldsUsage count="2">
        <fieldUsage x="-1"/>
        <fieldUsage x="1"/>
      </fieldsUsage>
    </cacheHierarchy>
    <cacheHierarchy uniqueName="[Sheet1 1].[Salary]" caption="Salary" attribute="1" defaultMemberUniqueName="[Sheet1 1].[Salary].[All]" allUniqueName="[Sheet1 1].[Salary].[All]" dimensionUniqueName="[Sheet1 1]" displayFolder="" count="0" memberValueDatatype="20" unbalanced="0"/>
    <cacheHierarchy uniqueName="[Sheet1 1].[Date of Joining]" caption="Date of Joining" attribute="1" time="1" defaultMemberUniqueName="[Sheet1 1].[Date of Joining].[All]" allUniqueName="[Sheet1 1].[Date of Joining].[All]" dimensionUniqueName="[Sheet1 1]" displayFolder="" count="0" memberValueDatatype="7" unbalanced="0"/>
    <cacheHierarchy uniqueName="[Sheet1 1].[Performance Rating]" caption="Performance Rating" attribute="1" defaultMemberUniqueName="[Sheet1 1].[Performance Rating].[All]" allUniqueName="[Sheet1 1].[Performance Rating].[All]" dimensionUniqueName="[Sheet1 1]" displayFolder="" count="0" memberValueDatatype="20" unbalanced="0"/>
    <cacheHierarchy uniqueName="[Sheet1 1].[Gender]" caption="Gender" attribute="1" defaultMemberUniqueName="[Sheet1 1].[Gender].[All]" allUniqueName="[Sheet1 1].[Gender].[All]" dimensionUniqueName="[Sheet1 1]" displayFolder="" count="0" memberValueDatatype="130" unbalanced="0"/>
    <cacheHierarchy uniqueName="[Sheet1 1].[Email]" caption="Email" attribute="1" defaultMemberUniqueName="[Sheet1 1].[Email].[All]" allUniqueName="[Sheet1 1].[Email].[All]" dimensionUniqueName="[Sheet1 1]" displayFolder="" count="0" memberValueDatatype="130" unbalanced="0"/>
    <cacheHierarchy uniqueName="[Sheet1 1].[Commision]" caption="Commision" attribute="1" defaultMemberUniqueName="[Sheet1 1].[Commision].[All]" allUniqueName="[Sheet1 1].[Commision].[All]" dimensionUniqueName="[Sheet1 1]" displayFolder="" count="0" memberValueDatatype="5" unbalanced="0"/>
    <cacheHierarchy uniqueName="[Sheet1 1].[Total_salary]" caption="Total_salary" attribute="1" defaultMemberUniqueName="[Sheet1 1].[Total_salary].[All]" allUniqueName="[Sheet1 1].[Total_salary].[All]" dimensionUniqueName="[Sheet1 1]" displayFolder="" count="0" memberValueDatatype="5" unbalanced="0"/>
    <cacheHierarchy uniqueName="[Sheet1 1].[Joining_year]" caption="Joining_year" attribute="1" defaultMemberUniqueName="[Sheet1 1].[Joining_year].[All]" allUniqueName="[Sheet1 1].[Joining_year].[All]" dimensionUniqueName="[Sheet1 1]" displayFolder="" count="0" memberValueDatatype="20" unbalanced="0"/>
    <cacheHierarchy uniqueName="[Sheet1 1].[Joining _month]" caption="Joining _month" attribute="1" defaultMemberUniqueName="[Sheet1 1].[Joining _month].[All]" allUniqueName="[Sheet1 1].[Joining _month].[All]" dimensionUniqueName="[Sheet1 1]" displayFolder="" count="0" memberValueDatatype="20" unbalanced="0"/>
    <cacheHierarchy uniqueName="[Measures].[__XL_Count Sheet1]" caption="__XL_Count Sheet1" measure="1" displayFolder="" measureGroup="Sheet1" count="0" hidden="1"/>
    <cacheHierarchy uniqueName="[Measures].[__XL_Count Sheet1 1]" caption="__XL_Count Sheet1 1" measure="1" displayFolder="" measureGroup="Sheet1 1" count="0" hidden="1"/>
    <cacheHierarchy uniqueName="[Measures].[__No measures defined]" caption="__No measures defined" measure="1" displayFolder="" count="0" hidden="1"/>
    <cacheHierarchy uniqueName="[Measures].[Sum of Joining_year]" caption="Sum of Joining_year" measure="1" displayFolder="" measureGroup="Sheet1 1" count="0" hidden="1">
      <extLst>
        <ext xmlns:x15="http://schemas.microsoft.com/office/spreadsheetml/2010/11/main" uri="{B97F6D7D-B522-45F9-BDA1-12C45D357490}">
          <x15:cacheHierarchy aggregatedColumn="21"/>
        </ext>
      </extLst>
    </cacheHierarchy>
    <cacheHierarchy uniqueName="[Measures].[Count of Employee ID]" caption="Count of Employee ID" measure="1" displayFolder="" measureGroup="Sheet1 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Sheet1 1" count="0" hidden="1">
      <extLst>
        <ext xmlns:x15="http://schemas.microsoft.com/office/spreadsheetml/2010/11/main" uri="{B97F6D7D-B522-45F9-BDA1-12C45D357490}">
          <x15:cacheHierarchy aggregatedColumn="14"/>
        </ext>
      </extLst>
    </cacheHierarchy>
    <cacheHierarchy uniqueName="[Measures].[Count of Salary]" caption="Count of Salary" measure="1" displayFolder="" measureGroup="Sheet1 1"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Sheet1" uniqueName="[Sheet1]" caption="Sheet1"/>
    <dimension name="Sheet1 1" uniqueName="[Sheet1 1]" caption="Sheet1 1"/>
  </dimensions>
  <measureGroups count="2">
    <measureGroup name="Sheet1" caption="Sheet1"/>
    <measureGroup name="Sheet1 1" caption="Sheet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x v="0"/>
    <s v="Chris Lee"/>
    <x v="0"/>
    <x v="0"/>
    <n v="30402"/>
    <x v="0"/>
    <x v="0"/>
    <x v="0"/>
    <s v="user167@example.com"/>
    <n v="0"/>
    <n v="30402"/>
    <x v="0"/>
    <n v="6"/>
    <n v="8"/>
  </r>
  <r>
    <x v="1"/>
    <s v="Chris Lee"/>
    <x v="1"/>
    <x v="1"/>
    <n v="30686"/>
    <x v="1"/>
    <x v="1"/>
    <x v="1"/>
    <s v="user95@example.com"/>
    <n v="1534.3000000000002"/>
    <n v="32220.3"/>
    <x v="1"/>
    <n v="8"/>
    <n v="9"/>
  </r>
  <r>
    <x v="2"/>
    <s v="Chris Lee"/>
    <x v="0"/>
    <x v="1"/>
    <n v="31293"/>
    <x v="1"/>
    <x v="1"/>
    <x v="1"/>
    <s v="user44@example.com"/>
    <n v="1564.65"/>
    <n v="32857.65"/>
    <x v="1"/>
    <n v="8"/>
    <n v="9"/>
  </r>
  <r>
    <x v="3"/>
    <s v="Bob Johnson"/>
    <x v="2"/>
    <x v="1"/>
    <n v="33264"/>
    <x v="2"/>
    <x v="2"/>
    <x v="1"/>
    <s v="user148@example.com"/>
    <n v="3326.4"/>
    <n v="36590.400000000001"/>
    <x v="1"/>
    <n v="10"/>
    <n v="9"/>
  </r>
  <r>
    <x v="4"/>
    <s v="Chris Lee"/>
    <x v="1"/>
    <x v="1"/>
    <n v="35364"/>
    <x v="3"/>
    <x v="1"/>
    <x v="2"/>
    <s v="user26@example.com"/>
    <n v="1768.2"/>
    <n v="37132.199999999997"/>
    <x v="2"/>
    <n v="2"/>
    <n v="11"/>
  </r>
  <r>
    <x v="5"/>
    <s v="Alice Brown"/>
    <x v="2"/>
    <x v="2"/>
    <n v="33956"/>
    <x v="4"/>
    <x v="2"/>
    <x v="0"/>
    <s v="user47@example.com"/>
    <n v="3395.6000000000004"/>
    <n v="37351.599999999999"/>
    <x v="2"/>
    <n v="10"/>
    <n v="10"/>
  </r>
  <r>
    <x v="6"/>
    <s v="Eve Adams"/>
    <x v="3"/>
    <x v="0"/>
    <n v="36541"/>
    <x v="5"/>
    <x v="1"/>
    <x v="2"/>
    <s v="user97@example.com"/>
    <n v="1827.0500000000002"/>
    <n v="38368.050000000003"/>
    <x v="1"/>
    <n v="3"/>
    <n v="10"/>
  </r>
  <r>
    <x v="7"/>
    <s v="Sam Wilson"/>
    <x v="4"/>
    <x v="1"/>
    <n v="33468"/>
    <x v="6"/>
    <x v="3"/>
    <x v="3"/>
    <s v="user125@example.com"/>
    <n v="5020.2"/>
    <n v="38488.199999999997"/>
    <x v="1"/>
    <n v="4"/>
    <n v="10"/>
  </r>
  <r>
    <x v="8"/>
    <s v="Chris Lee"/>
    <x v="2"/>
    <x v="1"/>
    <n v="33483"/>
    <x v="7"/>
    <x v="3"/>
    <x v="3"/>
    <s v="user177@example.com"/>
    <n v="5022.45"/>
    <n v="38505.449999999997"/>
    <x v="1"/>
    <n v="8"/>
    <n v="9"/>
  </r>
  <r>
    <x v="9"/>
    <s v="Alice Brown"/>
    <x v="1"/>
    <x v="3"/>
    <n v="35326"/>
    <x v="8"/>
    <x v="2"/>
    <x v="1"/>
    <s v="user57@example.com"/>
    <n v="3532.6000000000004"/>
    <n v="38858.6"/>
    <x v="2"/>
    <n v="11"/>
    <n v="10"/>
  </r>
  <r>
    <x v="10"/>
    <s v="Alice Brown"/>
    <x v="1"/>
    <x v="4"/>
    <n v="36515"/>
    <x v="9"/>
    <x v="2"/>
    <x v="3"/>
    <s v="user149@example.com"/>
    <n v="3651.5"/>
    <n v="40166.5"/>
    <x v="2"/>
    <n v="6"/>
    <n v="10"/>
  </r>
  <r>
    <x v="11"/>
    <s v="Jane Smith"/>
    <x v="4"/>
    <x v="3"/>
    <n v="41341"/>
    <x v="10"/>
    <x v="0"/>
    <x v="2"/>
    <s v="user38@example.com"/>
    <n v="0"/>
    <n v="41341"/>
    <x v="2"/>
    <n v="5"/>
    <n v="11"/>
  </r>
  <r>
    <x v="12"/>
    <s v="Chris Lee"/>
    <x v="4"/>
    <x v="1"/>
    <n v="35163"/>
    <x v="11"/>
    <x v="4"/>
    <x v="2"/>
    <s v="user197@example.com"/>
    <n v="7032.6"/>
    <n v="42195.6"/>
    <x v="1"/>
    <n v="8"/>
    <n v="9"/>
  </r>
  <r>
    <x v="13"/>
    <s v="Eve Adams"/>
    <x v="2"/>
    <x v="4"/>
    <n v="42262"/>
    <x v="12"/>
    <x v="0"/>
    <x v="0"/>
    <s v="user104@example.com"/>
    <n v="0"/>
    <n v="42262"/>
    <x v="1"/>
    <n v="7"/>
    <n v="9"/>
  </r>
  <r>
    <x v="14"/>
    <s v="Eve Adams"/>
    <x v="3"/>
    <x v="0"/>
    <n v="38678"/>
    <x v="13"/>
    <x v="2"/>
    <x v="2"/>
    <s v="user188@example.com"/>
    <n v="3867.8"/>
    <n v="42545.8"/>
    <x v="0"/>
    <n v="7"/>
    <n v="8"/>
  </r>
  <r>
    <x v="15"/>
    <s v="Alice Brown"/>
    <x v="2"/>
    <x v="4"/>
    <n v="41448"/>
    <x v="14"/>
    <x v="2"/>
    <x v="2"/>
    <s v="user103@example.com"/>
    <n v="4144.8"/>
    <n v="45592.800000000003"/>
    <x v="2"/>
    <n v="7"/>
    <n v="10"/>
  </r>
  <r>
    <x v="16"/>
    <s v="Eve Adams"/>
    <x v="4"/>
    <x v="1"/>
    <n v="38333"/>
    <x v="15"/>
    <x v="4"/>
    <x v="0"/>
    <s v="user128@example.com"/>
    <n v="7666.6"/>
    <n v="45999.6"/>
    <x v="2"/>
    <n v="6"/>
    <n v="10"/>
  </r>
  <r>
    <x v="17"/>
    <s v="Alice Brown"/>
    <x v="3"/>
    <x v="2"/>
    <n v="42096"/>
    <x v="16"/>
    <x v="2"/>
    <x v="1"/>
    <s v="user54@example.com"/>
    <n v="4209.6000000000004"/>
    <n v="46305.599999999999"/>
    <x v="1"/>
    <n v="12"/>
    <n v="9"/>
  </r>
  <r>
    <x v="18"/>
    <s v="Sam Wilson"/>
    <x v="0"/>
    <x v="1"/>
    <n v="39423"/>
    <x v="17"/>
    <x v="4"/>
    <x v="0"/>
    <s v="user59@example.com"/>
    <n v="7884.6"/>
    <n v="47307.6"/>
    <x v="2"/>
    <n v="12"/>
    <n v="10"/>
  </r>
  <r>
    <x v="19"/>
    <s v="Alice Brown"/>
    <x v="2"/>
    <x v="0"/>
    <n v="47653"/>
    <x v="18"/>
    <x v="0"/>
    <x v="3"/>
    <s v="user82@example.com"/>
    <n v="0"/>
    <n v="47653"/>
    <x v="0"/>
    <n v="3"/>
    <n v="9"/>
  </r>
  <r>
    <x v="20"/>
    <s v="Chris Lee"/>
    <x v="0"/>
    <x v="0"/>
    <n v="45676"/>
    <x v="19"/>
    <x v="1"/>
    <x v="0"/>
    <s v="user132@example.com"/>
    <n v="2283.8000000000002"/>
    <n v="47959.8"/>
    <x v="0"/>
    <n v="4"/>
    <n v="9"/>
  </r>
  <r>
    <x v="21"/>
    <s v="John Doe"/>
    <x v="3"/>
    <x v="4"/>
    <n v="49282"/>
    <x v="20"/>
    <x v="1"/>
    <x v="1"/>
    <s v="user135@example.com"/>
    <n v="2464.1000000000004"/>
    <n v="51746.1"/>
    <x v="2"/>
    <n v="7"/>
    <n v="10"/>
  </r>
  <r>
    <x v="22"/>
    <s v="Chris Lee"/>
    <x v="3"/>
    <x v="4"/>
    <n v="48224"/>
    <x v="21"/>
    <x v="2"/>
    <x v="0"/>
    <s v="user42@example.com"/>
    <n v="4822.4000000000005"/>
    <n v="53046.400000000001"/>
    <x v="2"/>
    <n v="10"/>
    <n v="10"/>
  </r>
  <r>
    <x v="23"/>
    <s v="Eve Adams"/>
    <x v="2"/>
    <x v="1"/>
    <n v="48325"/>
    <x v="22"/>
    <x v="2"/>
    <x v="3"/>
    <s v="user189@example.com"/>
    <n v="4832.5"/>
    <n v="53157.5"/>
    <x v="0"/>
    <n v="1"/>
    <n v="9"/>
  </r>
  <r>
    <x v="24"/>
    <s v="Eve Adams"/>
    <x v="3"/>
    <x v="2"/>
    <n v="54255"/>
    <x v="23"/>
    <x v="0"/>
    <x v="2"/>
    <s v="user106@example.com"/>
    <n v="0"/>
    <n v="54255"/>
    <x v="2"/>
    <n v="1"/>
    <n v="11"/>
  </r>
  <r>
    <x v="25"/>
    <s v="Bob Johnson"/>
    <x v="0"/>
    <x v="2"/>
    <n v="52036"/>
    <x v="24"/>
    <x v="2"/>
    <x v="3"/>
    <s v="user171@example.com"/>
    <n v="5203.6000000000004"/>
    <n v="57239.6"/>
    <x v="0"/>
    <n v="5"/>
    <n v="9"/>
  </r>
  <r>
    <x v="26"/>
    <s v="Chris Lee"/>
    <x v="1"/>
    <x v="1"/>
    <n v="52272"/>
    <x v="25"/>
    <x v="2"/>
    <x v="0"/>
    <s v="user41@example.com"/>
    <n v="5227.2000000000007"/>
    <n v="57499.199999999997"/>
    <x v="2"/>
    <n v="6"/>
    <n v="10"/>
  </r>
  <r>
    <x v="27"/>
    <s v="John Doe"/>
    <x v="0"/>
    <x v="3"/>
    <n v="60011"/>
    <x v="26"/>
    <x v="0"/>
    <x v="3"/>
    <s v="user63@example.com"/>
    <n v="0"/>
    <n v="60011"/>
    <x v="1"/>
    <n v="1"/>
    <n v="10"/>
  </r>
  <r>
    <x v="28"/>
    <s v="John Doe"/>
    <x v="2"/>
    <x v="1"/>
    <n v="60034"/>
    <x v="27"/>
    <x v="0"/>
    <x v="1"/>
    <s v="user75@example.com"/>
    <n v="0"/>
    <n v="60034"/>
    <x v="0"/>
    <n v="5"/>
    <n v="8"/>
  </r>
  <r>
    <x v="29"/>
    <s v="John Doe"/>
    <x v="1"/>
    <x v="4"/>
    <n v="52093"/>
    <x v="28"/>
    <x v="4"/>
    <x v="0"/>
    <s v="user154@example.com"/>
    <n v="10418.6"/>
    <n v="62511.6"/>
    <x v="2"/>
    <n v="9"/>
    <n v="10"/>
  </r>
  <r>
    <x v="30"/>
    <s v="Jane Smith"/>
    <x v="3"/>
    <x v="1"/>
    <n v="59894"/>
    <x v="29"/>
    <x v="1"/>
    <x v="3"/>
    <s v="user184@example.com"/>
    <n v="2994.7000000000003"/>
    <n v="62888.7"/>
    <x v="2"/>
    <n v="4"/>
    <n v="11"/>
  </r>
  <r>
    <x v="31"/>
    <s v="Jane Smith"/>
    <x v="0"/>
    <x v="2"/>
    <n v="64120"/>
    <x v="30"/>
    <x v="0"/>
    <x v="3"/>
    <s v="user49@example.com"/>
    <n v="0"/>
    <n v="64120"/>
    <x v="2"/>
    <n v="2"/>
    <n v="11"/>
  </r>
  <r>
    <x v="32"/>
    <s v="Sam Wilson"/>
    <x v="4"/>
    <x v="4"/>
    <n v="64247"/>
    <x v="31"/>
    <x v="0"/>
    <x v="1"/>
    <s v="user18@example.com"/>
    <n v="0"/>
    <n v="64247"/>
    <x v="2"/>
    <n v="3"/>
    <n v="11"/>
  </r>
  <r>
    <x v="33"/>
    <s v="Bob Johnson"/>
    <x v="1"/>
    <x v="3"/>
    <n v="64913"/>
    <x v="32"/>
    <x v="0"/>
    <x v="1"/>
    <s v="user175@example.com"/>
    <n v="0"/>
    <n v="64913"/>
    <x v="2"/>
    <n v="10"/>
    <n v="10"/>
  </r>
  <r>
    <x v="34"/>
    <s v="Bob Johnson"/>
    <x v="0"/>
    <x v="3"/>
    <n v="65270"/>
    <x v="33"/>
    <x v="0"/>
    <x v="0"/>
    <s v="user163@example.com"/>
    <n v="0"/>
    <n v="65270"/>
    <x v="0"/>
    <n v="10"/>
    <n v="8"/>
  </r>
  <r>
    <x v="35"/>
    <s v="Alice Brown"/>
    <x v="4"/>
    <x v="2"/>
    <n v="63184"/>
    <x v="34"/>
    <x v="1"/>
    <x v="0"/>
    <s v="user176@example.com"/>
    <n v="3159.2000000000003"/>
    <n v="66343.199999999997"/>
    <x v="2"/>
    <n v="1"/>
    <n v="11"/>
  </r>
  <r>
    <x v="36"/>
    <s v="Sam Wilson"/>
    <x v="3"/>
    <x v="1"/>
    <n v="66761"/>
    <x v="35"/>
    <x v="0"/>
    <x v="0"/>
    <s v="user93@example.com"/>
    <n v="0"/>
    <n v="66761"/>
    <x v="0"/>
    <n v="1"/>
    <n v="9"/>
  </r>
  <r>
    <x v="37"/>
    <s v="Chris Lee"/>
    <x v="3"/>
    <x v="1"/>
    <n v="58245"/>
    <x v="36"/>
    <x v="3"/>
    <x v="0"/>
    <s v="user43@example.com"/>
    <n v="8736.75"/>
    <n v="66981.75"/>
    <x v="2"/>
    <n v="11"/>
    <n v="10"/>
  </r>
  <r>
    <x v="38"/>
    <s v="Alice Brown"/>
    <x v="0"/>
    <x v="1"/>
    <n v="61942"/>
    <x v="37"/>
    <x v="2"/>
    <x v="1"/>
    <s v="user192@example.com"/>
    <n v="6194.2000000000007"/>
    <n v="68136.2"/>
    <x v="1"/>
    <n v="4"/>
    <n v="10"/>
  </r>
  <r>
    <x v="39"/>
    <s v="Jane Smith"/>
    <x v="1"/>
    <x v="4"/>
    <n v="69166"/>
    <x v="38"/>
    <x v="0"/>
    <x v="1"/>
    <s v="user22@example.com"/>
    <n v="0"/>
    <n v="69166"/>
    <x v="1"/>
    <n v="6"/>
    <n v="9"/>
  </r>
  <r>
    <x v="40"/>
    <s v="Chris Lee"/>
    <x v="0"/>
    <x v="0"/>
    <n v="66079"/>
    <x v="39"/>
    <x v="1"/>
    <x v="2"/>
    <s v="user55@example.com"/>
    <n v="3303.9500000000003"/>
    <n v="69382.95"/>
    <x v="1"/>
    <n v="7"/>
    <n v="9"/>
  </r>
  <r>
    <x v="41"/>
    <s v="Jane Smith"/>
    <x v="3"/>
    <x v="0"/>
    <n v="66280"/>
    <x v="40"/>
    <x v="1"/>
    <x v="2"/>
    <s v="user200@example.com"/>
    <n v="3314"/>
    <n v="69594"/>
    <x v="2"/>
    <n v="5"/>
    <n v="10"/>
  </r>
  <r>
    <x v="42"/>
    <s v="Bob Johnson"/>
    <x v="1"/>
    <x v="1"/>
    <n v="66280"/>
    <x v="41"/>
    <x v="1"/>
    <x v="2"/>
    <s v="user40@example.com"/>
    <n v="3314"/>
    <n v="69594"/>
    <x v="1"/>
    <n v="12"/>
    <n v="9"/>
  </r>
  <r>
    <x v="43"/>
    <s v="Chris Lee"/>
    <x v="2"/>
    <x v="1"/>
    <n v="63434"/>
    <x v="42"/>
    <x v="2"/>
    <x v="0"/>
    <s v="user48@example.com"/>
    <n v="6343.4000000000005"/>
    <n v="69777.399999999994"/>
    <x v="1"/>
    <n v="9"/>
    <n v="9"/>
  </r>
  <r>
    <x v="44"/>
    <s v="Alice Brown"/>
    <x v="3"/>
    <x v="1"/>
    <n v="64796"/>
    <x v="43"/>
    <x v="2"/>
    <x v="2"/>
    <s v="user98@example.com"/>
    <n v="6479.6"/>
    <n v="71275.600000000006"/>
    <x v="2"/>
    <n v="9"/>
    <n v="10"/>
  </r>
  <r>
    <x v="45"/>
    <s v="Sam Wilson"/>
    <x v="1"/>
    <x v="1"/>
    <n v="62158"/>
    <x v="44"/>
    <x v="3"/>
    <x v="0"/>
    <s v="user180@example.com"/>
    <n v="9323.6999999999989"/>
    <n v="71481.7"/>
    <x v="2"/>
    <n v="4"/>
    <n v="11"/>
  </r>
  <r>
    <x v="46"/>
    <s v="Bob Johnson"/>
    <x v="1"/>
    <x v="1"/>
    <n v="73483"/>
    <x v="45"/>
    <x v="0"/>
    <x v="0"/>
    <s v="user137@example.com"/>
    <n v="0"/>
    <n v="73483"/>
    <x v="0"/>
    <n v="4"/>
    <n v="9"/>
  </r>
  <r>
    <x v="47"/>
    <s v="Bob Johnson"/>
    <x v="4"/>
    <x v="4"/>
    <n v="66280"/>
    <x v="1"/>
    <x v="3"/>
    <x v="1"/>
    <s v="user89@example.com"/>
    <n v="9942"/>
    <n v="76222"/>
    <x v="1"/>
    <n v="8"/>
    <n v="9"/>
  </r>
  <r>
    <x v="48"/>
    <s v="Bob Johnson"/>
    <x v="4"/>
    <x v="1"/>
    <n v="77096"/>
    <x v="46"/>
    <x v="0"/>
    <x v="0"/>
    <s v="user65@example.com"/>
    <n v="0"/>
    <n v="77096"/>
    <x v="1"/>
    <n v="5"/>
    <n v="10"/>
  </r>
  <r>
    <x v="49"/>
    <s v="Bob Johnson"/>
    <x v="2"/>
    <x v="3"/>
    <n v="70470"/>
    <x v="47"/>
    <x v="2"/>
    <x v="3"/>
    <s v="user62@example.com"/>
    <n v="7047"/>
    <n v="77517"/>
    <x v="1"/>
    <n v="11"/>
    <n v="9"/>
  </r>
  <r>
    <x v="50"/>
    <s v="Bob Johnson"/>
    <x v="1"/>
    <x v="2"/>
    <n v="71494"/>
    <x v="48"/>
    <x v="2"/>
    <x v="3"/>
    <s v="user100@example.com"/>
    <n v="7149.4000000000005"/>
    <n v="78643.399999999994"/>
    <x v="0"/>
    <n v="6"/>
    <n v="8"/>
  </r>
  <r>
    <x v="51"/>
    <s v="Unknown"/>
    <x v="1"/>
    <x v="2"/>
    <n v="66280"/>
    <x v="1"/>
    <x v="4"/>
    <x v="0"/>
    <s v="user112@example.com"/>
    <n v="13256"/>
    <n v="79536"/>
    <x v="1"/>
    <n v="8"/>
    <n v="9"/>
  </r>
  <r>
    <x v="52"/>
    <s v="Unknown"/>
    <x v="2"/>
    <x v="0"/>
    <n v="66280"/>
    <x v="1"/>
    <x v="4"/>
    <x v="0"/>
    <s v="user101@example.com"/>
    <n v="13256"/>
    <n v="79536"/>
    <x v="1"/>
    <n v="8"/>
    <n v="9"/>
  </r>
  <r>
    <x v="53"/>
    <s v="Jane Smith"/>
    <x v="4"/>
    <x v="0"/>
    <n v="72939"/>
    <x v="49"/>
    <x v="2"/>
    <x v="0"/>
    <s v="user191@example.com"/>
    <n v="7293.9000000000005"/>
    <n v="80232.899999999994"/>
    <x v="1"/>
    <n v="11"/>
    <n v="9"/>
  </r>
  <r>
    <x v="54"/>
    <s v="Eve Adams"/>
    <x v="0"/>
    <x v="2"/>
    <n v="76518"/>
    <x v="50"/>
    <x v="1"/>
    <x v="1"/>
    <s v="user68@example.com"/>
    <n v="3825.9"/>
    <n v="80343.899999999994"/>
    <x v="2"/>
    <n v="7"/>
    <n v="10"/>
  </r>
  <r>
    <x v="55"/>
    <s v="Eve Adams"/>
    <x v="1"/>
    <x v="0"/>
    <n v="70096"/>
    <x v="51"/>
    <x v="3"/>
    <x v="3"/>
    <s v="user76@example.com"/>
    <n v="10514.4"/>
    <n v="80610.399999999994"/>
    <x v="1"/>
    <n v="11"/>
    <n v="9"/>
  </r>
  <r>
    <x v="56"/>
    <s v="Alice Brown"/>
    <x v="4"/>
    <x v="4"/>
    <n v="73602"/>
    <x v="52"/>
    <x v="2"/>
    <x v="0"/>
    <s v="user96@example.com"/>
    <n v="7360.2000000000007"/>
    <n v="80962.2"/>
    <x v="2"/>
    <n v="5"/>
    <n v="11"/>
  </r>
  <r>
    <x v="57"/>
    <s v="Eve Adams"/>
    <x v="1"/>
    <x v="1"/>
    <n v="67531"/>
    <x v="53"/>
    <x v="4"/>
    <x v="1"/>
    <s v="user151@example.com"/>
    <n v="13506.2"/>
    <n v="81037.2"/>
    <x v="2"/>
    <n v="5"/>
    <n v="10"/>
  </r>
  <r>
    <x v="58"/>
    <s v="Chris Lee"/>
    <x v="4"/>
    <x v="1"/>
    <n v="81610"/>
    <x v="54"/>
    <x v="0"/>
    <x v="0"/>
    <s v="user20@example.com"/>
    <n v="0"/>
    <n v="81610"/>
    <x v="2"/>
    <n v="11"/>
    <n v="10"/>
  </r>
  <r>
    <x v="59"/>
    <s v="Sam Wilson"/>
    <x v="1"/>
    <x v="4"/>
    <n v="78245"/>
    <x v="55"/>
    <x v="1"/>
    <x v="0"/>
    <s v="user46@example.com"/>
    <n v="3912.25"/>
    <n v="82157.25"/>
    <x v="1"/>
    <n v="7"/>
    <n v="9"/>
  </r>
  <r>
    <x v="60"/>
    <s v="Alice Brown"/>
    <x v="2"/>
    <x v="1"/>
    <n v="78421"/>
    <x v="56"/>
    <x v="1"/>
    <x v="1"/>
    <s v="user24@example.com"/>
    <n v="3921.05"/>
    <n v="82342.05"/>
    <x v="2"/>
    <n v="2"/>
    <n v="11"/>
  </r>
  <r>
    <x v="61"/>
    <s v="John Doe"/>
    <x v="2"/>
    <x v="1"/>
    <n v="84737"/>
    <x v="57"/>
    <x v="0"/>
    <x v="3"/>
    <s v="user141@example.com"/>
    <n v="0"/>
    <n v="84737"/>
    <x v="1"/>
    <n v="3"/>
    <n v="10"/>
  </r>
  <r>
    <x v="62"/>
    <s v="John Doe"/>
    <x v="0"/>
    <x v="3"/>
    <n v="79549"/>
    <x v="58"/>
    <x v="2"/>
    <x v="0"/>
    <s v="user198@example.com"/>
    <n v="7954.9000000000005"/>
    <n v="87503.9"/>
    <x v="2"/>
    <n v="8"/>
    <n v="10"/>
  </r>
  <r>
    <x v="63"/>
    <s v="Alice Brown"/>
    <x v="1"/>
    <x v="0"/>
    <n v="76238"/>
    <x v="59"/>
    <x v="3"/>
    <x v="3"/>
    <s v="user102@example.com"/>
    <n v="11435.699999999999"/>
    <n v="87673.7"/>
    <x v="1"/>
    <n v="10"/>
    <n v="9"/>
  </r>
  <r>
    <x v="64"/>
    <s v="Jane Smith"/>
    <x v="1"/>
    <x v="1"/>
    <n v="88850"/>
    <x v="60"/>
    <x v="0"/>
    <x v="1"/>
    <s v="user174@example.com"/>
    <n v="0"/>
    <n v="88850"/>
    <x v="0"/>
    <n v="2"/>
    <n v="9"/>
  </r>
  <r>
    <x v="65"/>
    <s v="Sam Wilson"/>
    <x v="3"/>
    <x v="2"/>
    <n v="89333"/>
    <x v="61"/>
    <x v="0"/>
    <x v="3"/>
    <s v="user113@example.com"/>
    <n v="0"/>
    <n v="89333"/>
    <x v="1"/>
    <n v="11"/>
    <n v="9"/>
  </r>
  <r>
    <x v="66"/>
    <s v="Chris Lee"/>
    <x v="1"/>
    <x v="0"/>
    <n v="74815"/>
    <x v="62"/>
    <x v="4"/>
    <x v="1"/>
    <s v="user50@example.com"/>
    <n v="14963"/>
    <n v="89778"/>
    <x v="1"/>
    <n v="1"/>
    <n v="10"/>
  </r>
  <r>
    <x v="67"/>
    <s v="Bob Johnson"/>
    <x v="1"/>
    <x v="4"/>
    <n v="75633"/>
    <x v="63"/>
    <x v="4"/>
    <x v="2"/>
    <s v="user92@example.com"/>
    <n v="15126.6"/>
    <n v="90759.6"/>
    <x v="1"/>
    <n v="1"/>
    <n v="10"/>
  </r>
  <r>
    <x v="68"/>
    <s v="Sam Wilson"/>
    <x v="4"/>
    <x v="1"/>
    <n v="91005"/>
    <x v="64"/>
    <x v="0"/>
    <x v="2"/>
    <s v="user122@example.com"/>
    <n v="0"/>
    <n v="91005"/>
    <x v="2"/>
    <n v="6"/>
    <n v="10"/>
  </r>
  <r>
    <x v="69"/>
    <s v="Unknown"/>
    <x v="1"/>
    <x v="1"/>
    <n v="92259"/>
    <x v="1"/>
    <x v="0"/>
    <x v="0"/>
    <s v="user109@example.com"/>
    <n v="0"/>
    <n v="92259"/>
    <x v="1"/>
    <n v="8"/>
    <n v="9"/>
  </r>
  <r>
    <x v="70"/>
    <s v="Chris Lee"/>
    <x v="3"/>
    <x v="2"/>
    <n v="84968"/>
    <x v="65"/>
    <x v="2"/>
    <x v="0"/>
    <s v="user165@example.com"/>
    <n v="8496.8000000000011"/>
    <n v="93464.8"/>
    <x v="0"/>
    <n v="8"/>
    <n v="8"/>
  </r>
  <r>
    <x v="71"/>
    <s v="Eve Adams"/>
    <x v="1"/>
    <x v="0"/>
    <n v="85065"/>
    <x v="66"/>
    <x v="2"/>
    <x v="0"/>
    <s v="user142@example.com"/>
    <n v="8506.5"/>
    <n v="93571.5"/>
    <x v="1"/>
    <n v="5"/>
    <n v="9"/>
  </r>
  <r>
    <x v="72"/>
    <s v="John Doe"/>
    <x v="0"/>
    <x v="0"/>
    <n v="94406"/>
    <x v="67"/>
    <x v="0"/>
    <x v="3"/>
    <s v="user168@example.com"/>
    <n v="0"/>
    <n v="94406"/>
    <x v="2"/>
    <n v="1"/>
    <n v="11"/>
  </r>
  <r>
    <x v="73"/>
    <s v="Unknown"/>
    <x v="0"/>
    <x v="1"/>
    <n v="96142"/>
    <x v="68"/>
    <x v="0"/>
    <x v="2"/>
    <s v="user17@example.com"/>
    <n v="0"/>
    <n v="96142"/>
    <x v="1"/>
    <n v="6"/>
    <n v="9"/>
  </r>
  <r>
    <x v="74"/>
    <s v="Alice Brown"/>
    <x v="2"/>
    <x v="0"/>
    <n v="89781"/>
    <x v="69"/>
    <x v="2"/>
    <x v="1"/>
    <s v="user31@example.com"/>
    <n v="8978.1"/>
    <n v="98759.1"/>
    <x v="2"/>
    <n v="9"/>
    <n v="10"/>
  </r>
  <r>
    <x v="75"/>
    <s v="Eve Adams"/>
    <x v="1"/>
    <x v="1"/>
    <n v="94148"/>
    <x v="70"/>
    <x v="1"/>
    <x v="0"/>
    <s v="user53@example.com"/>
    <n v="4707.4000000000005"/>
    <n v="98855.4"/>
    <x v="0"/>
    <n v="10"/>
    <n v="8"/>
  </r>
  <r>
    <x v="76"/>
    <s v="Bob Johnson"/>
    <x v="1"/>
    <x v="2"/>
    <n v="90271"/>
    <x v="71"/>
    <x v="2"/>
    <x v="0"/>
    <s v="user64@example.com"/>
    <n v="9027.1"/>
    <n v="99298.1"/>
    <x v="2"/>
    <n v="4"/>
    <n v="11"/>
  </r>
  <r>
    <x v="77"/>
    <s v="Chris Lee"/>
    <x v="0"/>
    <x v="4"/>
    <n v="91620"/>
    <x v="72"/>
    <x v="2"/>
    <x v="0"/>
    <s v="user114@example.com"/>
    <n v="9162"/>
    <n v="100782"/>
    <x v="0"/>
    <n v="10"/>
    <n v="8"/>
  </r>
  <r>
    <x v="78"/>
    <s v="Chris Lee"/>
    <x v="3"/>
    <x v="4"/>
    <n v="91846"/>
    <x v="73"/>
    <x v="2"/>
    <x v="3"/>
    <s v="user153@example.com"/>
    <n v="9184.6"/>
    <n v="101030.6"/>
    <x v="2"/>
    <n v="3"/>
    <n v="11"/>
  </r>
  <r>
    <x v="79"/>
    <s v="Eve Adams"/>
    <x v="3"/>
    <x v="2"/>
    <n v="92299"/>
    <x v="74"/>
    <x v="2"/>
    <x v="3"/>
    <s v="user143@example.com"/>
    <n v="9229.9"/>
    <n v="101528.9"/>
    <x v="2"/>
    <n v="8"/>
    <n v="10"/>
  </r>
  <r>
    <x v="80"/>
    <s v="Unknown"/>
    <x v="2"/>
    <x v="1"/>
    <n v="92443"/>
    <x v="75"/>
    <x v="2"/>
    <x v="2"/>
    <s v="user3@example.com"/>
    <n v="9244.3000000000011"/>
    <n v="101687.3"/>
    <x v="2"/>
    <n v="4"/>
    <n v="11"/>
  </r>
  <r>
    <x v="81"/>
    <s v="Sam Wilson"/>
    <x v="1"/>
    <x v="1"/>
    <n v="84924"/>
    <x v="76"/>
    <x v="4"/>
    <x v="3"/>
    <s v="user150@example.com"/>
    <n v="16984.8"/>
    <n v="101908.8"/>
    <x v="1"/>
    <n v="2"/>
    <n v="10"/>
  </r>
  <r>
    <x v="82"/>
    <s v="Chris Lee"/>
    <x v="2"/>
    <x v="2"/>
    <n v="92701"/>
    <x v="77"/>
    <x v="2"/>
    <x v="2"/>
    <s v="user199@example.com"/>
    <n v="9270.1"/>
    <n v="101971.1"/>
    <x v="2"/>
    <n v="11"/>
    <n v="10"/>
  </r>
  <r>
    <x v="83"/>
    <s v="Chris Lee"/>
    <x v="0"/>
    <x v="1"/>
    <n v="95032"/>
    <x v="78"/>
    <x v="2"/>
    <x v="0"/>
    <s v="user23@example.com"/>
    <n v="9503.2000000000007"/>
    <n v="104535.2"/>
    <x v="0"/>
    <n v="4"/>
    <n v="9"/>
  </r>
  <r>
    <x v="84"/>
    <s v="Chris Lee"/>
    <x v="1"/>
    <x v="0"/>
    <n v="95367"/>
    <x v="79"/>
    <x v="2"/>
    <x v="3"/>
    <s v="user136@example.com"/>
    <n v="9536.7000000000007"/>
    <n v="104903.7"/>
    <x v="2"/>
    <n v="8"/>
    <n v="10"/>
  </r>
  <r>
    <x v="85"/>
    <s v="Sam Wilson"/>
    <x v="3"/>
    <x v="1"/>
    <n v="95586"/>
    <x v="80"/>
    <x v="2"/>
    <x v="2"/>
    <s v="user190@example.com"/>
    <n v="9558.6"/>
    <n v="105144.6"/>
    <x v="2"/>
    <n v="8"/>
    <n v="10"/>
  </r>
  <r>
    <x v="86"/>
    <s v="Jane Smith"/>
    <x v="0"/>
    <x v="0"/>
    <n v="95621"/>
    <x v="81"/>
    <x v="2"/>
    <x v="1"/>
    <s v="user156@example.com"/>
    <n v="9562.1"/>
    <n v="105183.1"/>
    <x v="1"/>
    <n v="7"/>
    <n v="9"/>
  </r>
  <r>
    <x v="87"/>
    <s v="Alice Brown"/>
    <x v="4"/>
    <x v="3"/>
    <n v="96101"/>
    <x v="82"/>
    <x v="2"/>
    <x v="2"/>
    <s v="user155@example.com"/>
    <n v="9610.1"/>
    <n v="105711.1"/>
    <x v="1"/>
    <n v="10"/>
    <n v="9"/>
  </r>
  <r>
    <x v="88"/>
    <s v="Sam Wilson"/>
    <x v="1"/>
    <x v="3"/>
    <n v="96365"/>
    <x v="83"/>
    <x v="2"/>
    <x v="2"/>
    <s v="user90@example.com"/>
    <n v="9636.5"/>
    <n v="106001.5"/>
    <x v="1"/>
    <n v="4"/>
    <n v="10"/>
  </r>
  <r>
    <x v="89"/>
    <s v="Alice Brown"/>
    <x v="2"/>
    <x v="2"/>
    <n v="97881"/>
    <x v="84"/>
    <x v="2"/>
    <x v="1"/>
    <s v="user25@example.com"/>
    <n v="9788.1"/>
    <n v="107669.1"/>
    <x v="2"/>
    <n v="3"/>
    <n v="11"/>
  </r>
  <r>
    <x v="90"/>
    <s v="John Doe"/>
    <x v="4"/>
    <x v="1"/>
    <n v="90019"/>
    <x v="85"/>
    <x v="4"/>
    <x v="0"/>
    <s v="user52@example.com"/>
    <n v="18003.8"/>
    <n v="108022.8"/>
    <x v="0"/>
    <n v="5"/>
    <n v="8"/>
  </r>
  <r>
    <x v="91"/>
    <s v="Sam Wilson"/>
    <x v="2"/>
    <x v="0"/>
    <n v="91180"/>
    <x v="86"/>
    <x v="4"/>
    <x v="3"/>
    <s v="user1@example.com"/>
    <n v="18236"/>
    <n v="109416"/>
    <x v="2"/>
    <n v="3"/>
    <n v="11"/>
  </r>
  <r>
    <x v="92"/>
    <s v="Sam Wilson"/>
    <x v="0"/>
    <x v="1"/>
    <n v="99621"/>
    <x v="1"/>
    <x v="2"/>
    <x v="2"/>
    <s v="user145@example.com"/>
    <n v="9962.1"/>
    <n v="109583.1"/>
    <x v="1"/>
    <n v="8"/>
    <n v="9"/>
  </r>
  <r>
    <x v="93"/>
    <s v="Bob Johnson"/>
    <x v="1"/>
    <x v="4"/>
    <n v="92959"/>
    <x v="87"/>
    <x v="4"/>
    <x v="0"/>
    <s v="user83@example.com"/>
    <n v="18591.8"/>
    <n v="111550.8"/>
    <x v="2"/>
    <n v="7"/>
    <n v="10"/>
  </r>
  <r>
    <x v="94"/>
    <s v="Jane Smith"/>
    <x v="3"/>
    <x v="1"/>
    <n v="98922"/>
    <x v="88"/>
    <x v="3"/>
    <x v="0"/>
    <s v="user77@example.com"/>
    <n v="14838.3"/>
    <n v="113760.3"/>
    <x v="2"/>
    <n v="5"/>
    <n v="10"/>
  </r>
  <r>
    <x v="95"/>
    <s v="Chris Lee"/>
    <x v="2"/>
    <x v="4"/>
    <n v="97981"/>
    <x v="89"/>
    <x v="4"/>
    <x v="1"/>
    <s v="user71@example.com"/>
    <n v="19596.2"/>
    <n v="117577.2"/>
    <x v="1"/>
    <n v="3"/>
    <n v="10"/>
  </r>
  <r>
    <x v="96"/>
    <s v="Sam Wilson"/>
    <x v="1"/>
    <x v="1"/>
    <n v="98475"/>
    <x v="90"/>
    <x v="4"/>
    <x v="2"/>
    <s v="user30@example.com"/>
    <n v="19695"/>
    <n v="118170"/>
    <x v="0"/>
    <n v="11"/>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4ABB9A-79AD-4A34-AF6B-C1CAABB69514}" name="PivotTable15"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8:G115" firstHeaderRow="1" firstDataRow="2" firstDataCol="1"/>
  <pivotFields count="17">
    <pivotField dataField="1" showAll="0"/>
    <pivotField showAll="0"/>
    <pivotField axis="axisRow" showAll="0">
      <items count="6">
        <item x="4"/>
        <item x="3"/>
        <item x="2"/>
        <item x="1"/>
        <item x="0"/>
        <item t="default"/>
      </items>
    </pivotField>
    <pivotField showAll="0"/>
    <pivotField numFmtId="166" showAll="0"/>
    <pivotField numFmtId="14" showAll="0">
      <items count="92">
        <item x="23"/>
        <item x="34"/>
        <item x="67"/>
        <item x="30"/>
        <item x="56"/>
        <item x="3"/>
        <item x="84"/>
        <item x="73"/>
        <item x="31"/>
        <item x="86"/>
        <item x="44"/>
        <item x="29"/>
        <item x="75"/>
        <item x="71"/>
        <item x="10"/>
        <item x="52"/>
        <item x="53"/>
        <item x="40"/>
        <item x="88"/>
        <item x="15"/>
        <item x="9"/>
        <item x="64"/>
        <item x="25"/>
        <item x="50"/>
        <item x="14"/>
        <item x="20"/>
        <item x="87"/>
        <item x="74"/>
        <item x="80"/>
        <item x="79"/>
        <item x="58"/>
        <item x="69"/>
        <item x="43"/>
        <item x="28"/>
        <item x="21"/>
        <item x="4"/>
        <item x="32"/>
        <item x="8"/>
        <item x="54"/>
        <item x="77"/>
        <item x="36"/>
        <item x="17"/>
        <item x="63"/>
        <item x="62"/>
        <item x="26"/>
        <item x="76"/>
        <item x="89"/>
        <item x="5"/>
        <item x="57"/>
        <item x="6"/>
        <item x="83"/>
        <item x="37"/>
        <item x="46"/>
        <item x="66"/>
        <item x="68"/>
        <item x="38"/>
        <item x="55"/>
        <item x="39"/>
        <item x="81"/>
        <item x="12"/>
        <item x="1"/>
        <item x="11"/>
        <item x="7"/>
        <item x="42"/>
        <item x="59"/>
        <item x="2"/>
        <item x="82"/>
        <item x="49"/>
        <item x="61"/>
        <item x="47"/>
        <item x="51"/>
        <item x="41"/>
        <item x="16"/>
        <item x="22"/>
        <item x="35"/>
        <item x="60"/>
        <item x="18"/>
        <item x="45"/>
        <item x="78"/>
        <item x="19"/>
        <item x="24"/>
        <item x="27"/>
        <item x="85"/>
        <item x="48"/>
        <item x="0"/>
        <item x="13"/>
        <item x="65"/>
        <item x="72"/>
        <item x="70"/>
        <item x="33"/>
        <item x="90"/>
        <item t="default"/>
      </items>
    </pivotField>
    <pivotField axis="axisCol" showAll="0">
      <items count="6">
        <item x="0"/>
        <item x="1"/>
        <item x="2"/>
        <item x="3"/>
        <item x="4"/>
        <item t="default"/>
      </items>
    </pivotField>
    <pivotField showAll="0"/>
    <pivotField showAll="0"/>
    <pivotField showAll="0"/>
    <pivotField numFmtId="166"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Fields count="1">
    <field x="6"/>
  </colFields>
  <colItems count="6">
    <i>
      <x/>
    </i>
    <i>
      <x v="1"/>
    </i>
    <i>
      <x v="2"/>
    </i>
    <i>
      <x v="3"/>
    </i>
    <i>
      <x v="4"/>
    </i>
    <i t="grand">
      <x/>
    </i>
  </colItems>
  <dataFields count="1">
    <dataField name="Count of Employee ID" fld="0" subtotal="count" baseField="0" baseItem="0"/>
  </dataFields>
  <chartFormats count="10">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3" format="3" series="1">
      <pivotArea type="data" outline="0" fieldPosition="0">
        <references count="2">
          <reference field="4294967294" count="1" selected="0">
            <x v="0"/>
          </reference>
          <reference field="6" count="1" selected="0">
            <x v="3"/>
          </reference>
        </references>
      </pivotArea>
    </chartFormat>
    <chartFormat chart="3" format="4" series="1">
      <pivotArea type="data" outline="0" fieldPosition="0">
        <references count="2">
          <reference field="4294967294" count="1" selected="0">
            <x v="0"/>
          </reference>
          <reference field="6" count="1" selected="0">
            <x v="4"/>
          </reference>
        </references>
      </pivotArea>
    </chartFormat>
    <chartFormat chart="5" format="10" series="1">
      <pivotArea type="data" outline="0" fieldPosition="0">
        <references count="2">
          <reference field="4294967294" count="1" selected="0">
            <x v="0"/>
          </reference>
          <reference field="6" count="1" selected="0">
            <x v="0"/>
          </reference>
        </references>
      </pivotArea>
    </chartFormat>
    <chartFormat chart="5" format="11" series="1">
      <pivotArea type="data" outline="0" fieldPosition="0">
        <references count="2">
          <reference field="4294967294" count="1" selected="0">
            <x v="0"/>
          </reference>
          <reference field="6" count="1" selected="0">
            <x v="1"/>
          </reference>
        </references>
      </pivotArea>
    </chartFormat>
    <chartFormat chart="5" format="12" series="1">
      <pivotArea type="data" outline="0" fieldPosition="0">
        <references count="2">
          <reference field="4294967294" count="1" selected="0">
            <x v="0"/>
          </reference>
          <reference field="6" count="1" selected="0">
            <x v="2"/>
          </reference>
        </references>
      </pivotArea>
    </chartFormat>
    <chartFormat chart="5" format="13" series="1">
      <pivotArea type="data" outline="0" fieldPosition="0">
        <references count="2">
          <reference field="4294967294" count="1" selected="0">
            <x v="0"/>
          </reference>
          <reference field="6" count="1" selected="0">
            <x v="3"/>
          </reference>
        </references>
      </pivotArea>
    </chartFormat>
    <chartFormat chart="5"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3EBF7D-559A-4DDC-92E0-729D247507F8}" name="PivotTable14"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4:G101" firstHeaderRow="1" firstDataRow="2" firstDataCol="1"/>
  <pivotFields count="17">
    <pivotField showAll="0"/>
    <pivotField showAll="0"/>
    <pivotField axis="axisCol" showAll="0">
      <items count="6">
        <item x="4"/>
        <item x="3"/>
        <item x="2"/>
        <item x="1"/>
        <item x="0"/>
        <item t="default"/>
      </items>
    </pivotField>
    <pivotField axis="axisRow" showAll="0">
      <items count="6">
        <item x="3"/>
        <item x="2"/>
        <item x="1"/>
        <item x="4"/>
        <item x="0"/>
        <item t="default"/>
      </items>
    </pivotField>
    <pivotField dataField="1" numFmtId="166" showAll="0"/>
    <pivotField numFmtId="14" showAll="0">
      <items count="92">
        <item x="23"/>
        <item x="34"/>
        <item x="67"/>
        <item x="30"/>
        <item x="56"/>
        <item x="3"/>
        <item x="84"/>
        <item x="73"/>
        <item x="31"/>
        <item x="86"/>
        <item x="44"/>
        <item x="29"/>
        <item x="75"/>
        <item x="71"/>
        <item x="10"/>
        <item x="52"/>
        <item x="53"/>
        <item x="40"/>
        <item x="88"/>
        <item x="15"/>
        <item x="9"/>
        <item x="64"/>
        <item x="25"/>
        <item x="50"/>
        <item x="14"/>
        <item x="20"/>
        <item x="87"/>
        <item x="74"/>
        <item x="80"/>
        <item x="79"/>
        <item x="58"/>
        <item x="69"/>
        <item x="43"/>
        <item x="28"/>
        <item x="21"/>
        <item x="4"/>
        <item x="32"/>
        <item x="8"/>
        <item x="54"/>
        <item x="77"/>
        <item x="36"/>
        <item x="17"/>
        <item x="63"/>
        <item x="62"/>
        <item x="26"/>
        <item x="76"/>
        <item x="89"/>
        <item x="5"/>
        <item x="57"/>
        <item x="6"/>
        <item x="83"/>
        <item x="37"/>
        <item x="46"/>
        <item x="66"/>
        <item x="68"/>
        <item x="38"/>
        <item x="55"/>
        <item x="39"/>
        <item x="81"/>
        <item x="12"/>
        <item x="1"/>
        <item x="11"/>
        <item x="7"/>
        <item x="42"/>
        <item x="59"/>
        <item x="2"/>
        <item x="82"/>
        <item x="49"/>
        <item x="61"/>
        <item x="47"/>
        <item x="51"/>
        <item x="41"/>
        <item x="16"/>
        <item x="22"/>
        <item x="35"/>
        <item x="60"/>
        <item x="18"/>
        <item x="45"/>
        <item x="78"/>
        <item x="19"/>
        <item x="24"/>
        <item x="27"/>
        <item x="85"/>
        <item x="48"/>
        <item x="0"/>
        <item x="13"/>
        <item x="65"/>
        <item x="72"/>
        <item x="70"/>
        <item x="33"/>
        <item x="90"/>
        <item t="default"/>
      </items>
    </pivotField>
    <pivotField showAll="0"/>
    <pivotField showAll="0"/>
    <pivotField showAll="0"/>
    <pivotField showAll="0"/>
    <pivotField numFmtId="166"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6">
    <i>
      <x/>
    </i>
    <i>
      <x v="1"/>
    </i>
    <i>
      <x v="2"/>
    </i>
    <i>
      <x v="3"/>
    </i>
    <i>
      <x v="4"/>
    </i>
    <i t="grand">
      <x/>
    </i>
  </colItems>
  <dataFields count="1">
    <dataField name="Average of Salary" fld="4" subtotal="average" baseField="3" baseItem="2" numFmtId="166"/>
  </dataFields>
  <formats count="1">
    <format dxfId="62">
      <pivotArea type="all" dataOnly="0" outline="0" fieldPosition="0"/>
    </format>
  </format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2" format="10" series="1">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2">
          <reference field="4294967294" count="1" selected="0">
            <x v="0"/>
          </reference>
          <reference field="2" count="1" selected="0">
            <x v="1"/>
          </reference>
        </references>
      </pivotArea>
    </chartFormat>
    <chartFormat chart="2" format="12" series="1">
      <pivotArea type="data" outline="0" fieldPosition="0">
        <references count="2">
          <reference field="4294967294" count="1" selected="0">
            <x v="0"/>
          </reference>
          <reference field="2" count="1" selected="0">
            <x v="2"/>
          </reference>
        </references>
      </pivotArea>
    </chartFormat>
    <chartFormat chart="2" format="13" series="1">
      <pivotArea type="data" outline="0" fieldPosition="0">
        <references count="2">
          <reference field="4294967294" count="1" selected="0">
            <x v="0"/>
          </reference>
          <reference field="2" count="1" selected="0">
            <x v="3"/>
          </reference>
        </references>
      </pivotArea>
    </chartFormat>
    <chartFormat chart="2"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44CA90-45E6-4A19-9527-71ED2B5F417C}" name="PivotTable13"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8:G65" firstHeaderRow="1" firstDataRow="2" firstDataCol="1"/>
  <pivotFields count="17">
    <pivotField dataField="1" showAll="0"/>
    <pivotField showAll="0"/>
    <pivotField axis="axisCol" showAll="0">
      <items count="6">
        <item x="4"/>
        <item x="3"/>
        <item x="2"/>
        <item x="1"/>
        <item x="0"/>
        <item t="default"/>
      </items>
    </pivotField>
    <pivotField showAll="0"/>
    <pivotField numFmtId="166" showAll="0"/>
    <pivotField axis="axisRow" numFmtId="14" showAll="0">
      <items count="92">
        <item x="23"/>
        <item x="34"/>
        <item x="67"/>
        <item x="30"/>
        <item x="56"/>
        <item x="3"/>
        <item x="84"/>
        <item x="73"/>
        <item x="31"/>
        <item x="86"/>
        <item x="44"/>
        <item x="29"/>
        <item x="75"/>
        <item x="71"/>
        <item x="10"/>
        <item x="52"/>
        <item x="53"/>
        <item x="40"/>
        <item x="88"/>
        <item x="15"/>
        <item x="9"/>
        <item x="64"/>
        <item x="25"/>
        <item x="50"/>
        <item x="14"/>
        <item x="20"/>
        <item x="87"/>
        <item x="74"/>
        <item x="80"/>
        <item x="79"/>
        <item x="58"/>
        <item x="69"/>
        <item x="43"/>
        <item x="28"/>
        <item x="21"/>
        <item x="4"/>
        <item x="32"/>
        <item x="8"/>
        <item x="54"/>
        <item x="77"/>
        <item x="36"/>
        <item x="17"/>
        <item x="63"/>
        <item x="62"/>
        <item x="26"/>
        <item x="76"/>
        <item x="89"/>
        <item x="5"/>
        <item x="57"/>
        <item x="6"/>
        <item x="83"/>
        <item x="37"/>
        <item x="46"/>
        <item x="66"/>
        <item x="68"/>
        <item x="38"/>
        <item x="55"/>
        <item x="39"/>
        <item x="81"/>
        <item x="12"/>
        <item x="1"/>
        <item x="11"/>
        <item x="7"/>
        <item x="42"/>
        <item x="59"/>
        <item x="2"/>
        <item x="82"/>
        <item x="49"/>
        <item x="61"/>
        <item x="47"/>
        <item x="51"/>
        <item x="41"/>
        <item x="16"/>
        <item x="22"/>
        <item x="35"/>
        <item x="60"/>
        <item x="18"/>
        <item x="45"/>
        <item x="78"/>
        <item x="19"/>
        <item x="24"/>
        <item x="27"/>
        <item x="85"/>
        <item x="48"/>
        <item x="0"/>
        <item x="13"/>
        <item x="65"/>
        <item x="72"/>
        <item x="70"/>
        <item x="33"/>
        <item x="90"/>
        <item t="default"/>
      </items>
    </pivotField>
    <pivotField showAll="0"/>
    <pivotField showAll="0"/>
    <pivotField showAll="0"/>
    <pivotField showAll="0"/>
    <pivotField numFmtId="166" showAll="0"/>
    <pivotField showAll="0">
      <items count="4">
        <item x="2"/>
        <item x="1"/>
        <item x="0"/>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h="1" sd="0" x="0"/>
        <item sd="0" x="1"/>
        <item sd="0" x="2"/>
        <item sd="0" x="3"/>
        <item sd="0" x="4"/>
        <item h="1" sd="0" x="5"/>
      </items>
    </pivotField>
    <pivotField axis="axisRow" showAll="0" defaultSubtotal="0">
      <items count="5">
        <item h="1" sd="0" x="0"/>
        <item h="1" sd="0" x="1"/>
        <item x="2"/>
        <item h="1" sd="0" x="3"/>
        <item h="1" sd="0" x="4"/>
      </items>
    </pivotField>
  </pivotFields>
  <rowFields count="4">
    <field x="16"/>
    <field x="15"/>
    <field x="14"/>
    <field x="5"/>
  </rowFields>
  <rowItems count="6">
    <i>
      <x v="2"/>
    </i>
    <i r="1">
      <x v="1"/>
    </i>
    <i r="1">
      <x v="2"/>
    </i>
    <i r="1">
      <x v="3"/>
    </i>
    <i r="1">
      <x v="4"/>
    </i>
    <i t="grand">
      <x/>
    </i>
  </rowItems>
  <colFields count="1">
    <field x="2"/>
  </colFields>
  <colItems count="6">
    <i>
      <x/>
    </i>
    <i>
      <x v="1"/>
    </i>
    <i>
      <x v="2"/>
    </i>
    <i>
      <x v="3"/>
    </i>
    <i>
      <x v="4"/>
    </i>
    <i t="grand">
      <x/>
    </i>
  </colItems>
  <dataFields count="1">
    <dataField name="Count of Employee ID" fld="0" subtotal="count" baseField="0" baseItem="0"/>
  </dataFields>
  <formats count="7">
    <format dxfId="50">
      <pivotArea outline="0" collapsedLevelsAreSubtotals="1" fieldPosition="0"/>
    </format>
    <format dxfId="49">
      <pivotArea field="16" type="button" dataOnly="0" labelOnly="1" outline="0" axis="axisRow" fieldPosition="0"/>
    </format>
    <format dxfId="48">
      <pivotArea dataOnly="0" labelOnly="1" fieldPosition="0">
        <references count="1">
          <reference field="16" count="0"/>
        </references>
      </pivotArea>
    </format>
    <format dxfId="47">
      <pivotArea dataOnly="0" labelOnly="1" grandRow="1" outline="0" fieldPosition="0"/>
    </format>
    <format dxfId="46">
      <pivotArea dataOnly="0" labelOnly="1" fieldPosition="0">
        <references count="2">
          <reference field="15" count="0"/>
          <reference field="16" count="0" selected="0"/>
        </references>
      </pivotArea>
    </format>
    <format dxfId="45">
      <pivotArea dataOnly="0" labelOnly="1" fieldPosition="0">
        <references count="1">
          <reference field="2" count="0"/>
        </references>
      </pivotArea>
    </format>
    <format dxfId="44">
      <pivotArea dataOnly="0" labelOnly="1" grandCol="1" outline="0" fieldPosition="0"/>
    </format>
  </formats>
  <chartFormats count="30">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4" format="106" series="1">
      <pivotArea type="data" outline="0" fieldPosition="0">
        <references count="2">
          <reference field="4294967294" count="1" selected="0">
            <x v="0"/>
          </reference>
          <reference field="2" count="1" selected="0">
            <x v="0"/>
          </reference>
        </references>
      </pivotArea>
    </chartFormat>
    <chartFormat chart="4" format="107">
      <pivotArea type="data" outline="0" fieldPosition="0">
        <references count="4">
          <reference field="4294967294" count="1" selected="0">
            <x v="0"/>
          </reference>
          <reference field="2" count="1" selected="0">
            <x v="0"/>
          </reference>
          <reference field="15" count="1" selected="0">
            <x v="1"/>
          </reference>
          <reference field="16" count="1" selected="0">
            <x v="2"/>
          </reference>
        </references>
      </pivotArea>
    </chartFormat>
    <chartFormat chart="4" format="108">
      <pivotArea type="data" outline="0" fieldPosition="0">
        <references count="4">
          <reference field="4294967294" count="1" selected="0">
            <x v="0"/>
          </reference>
          <reference field="2" count="1" selected="0">
            <x v="0"/>
          </reference>
          <reference field="15" count="1" selected="0">
            <x v="2"/>
          </reference>
          <reference field="16" count="1" selected="0">
            <x v="2"/>
          </reference>
        </references>
      </pivotArea>
    </chartFormat>
    <chartFormat chart="4" format="109">
      <pivotArea type="data" outline="0" fieldPosition="0">
        <references count="4">
          <reference field="4294967294" count="1" selected="0">
            <x v="0"/>
          </reference>
          <reference field="2" count="1" selected="0">
            <x v="0"/>
          </reference>
          <reference field="15" count="1" selected="0">
            <x v="3"/>
          </reference>
          <reference field="16" count="1" selected="0">
            <x v="2"/>
          </reference>
        </references>
      </pivotArea>
    </chartFormat>
    <chartFormat chart="4" format="110">
      <pivotArea type="data" outline="0" fieldPosition="0">
        <references count="4">
          <reference field="4294967294" count="1" selected="0">
            <x v="0"/>
          </reference>
          <reference field="2" count="1" selected="0">
            <x v="0"/>
          </reference>
          <reference field="15" count="1" selected="0">
            <x v="4"/>
          </reference>
          <reference field="16" count="1" selected="0">
            <x v="2"/>
          </reference>
        </references>
      </pivotArea>
    </chartFormat>
    <chartFormat chart="4" format="111" series="1">
      <pivotArea type="data" outline="0" fieldPosition="0">
        <references count="2">
          <reference field="4294967294" count="1" selected="0">
            <x v="0"/>
          </reference>
          <reference field="2" count="1" selected="0">
            <x v="1"/>
          </reference>
        </references>
      </pivotArea>
    </chartFormat>
    <chartFormat chart="4" format="112">
      <pivotArea type="data" outline="0" fieldPosition="0">
        <references count="4">
          <reference field="4294967294" count="1" selected="0">
            <x v="0"/>
          </reference>
          <reference field="2" count="1" selected="0">
            <x v="1"/>
          </reference>
          <reference field="15" count="1" selected="0">
            <x v="1"/>
          </reference>
          <reference field="16" count="1" selected="0">
            <x v="2"/>
          </reference>
        </references>
      </pivotArea>
    </chartFormat>
    <chartFormat chart="4" format="113">
      <pivotArea type="data" outline="0" fieldPosition="0">
        <references count="4">
          <reference field="4294967294" count="1" selected="0">
            <x v="0"/>
          </reference>
          <reference field="2" count="1" selected="0">
            <x v="1"/>
          </reference>
          <reference field="15" count="1" selected="0">
            <x v="2"/>
          </reference>
          <reference field="16" count="1" selected="0">
            <x v="2"/>
          </reference>
        </references>
      </pivotArea>
    </chartFormat>
    <chartFormat chart="4" format="114">
      <pivotArea type="data" outline="0" fieldPosition="0">
        <references count="4">
          <reference field="4294967294" count="1" selected="0">
            <x v="0"/>
          </reference>
          <reference field="2" count="1" selected="0">
            <x v="1"/>
          </reference>
          <reference field="15" count="1" selected="0">
            <x v="3"/>
          </reference>
          <reference field="16" count="1" selected="0">
            <x v="2"/>
          </reference>
        </references>
      </pivotArea>
    </chartFormat>
    <chartFormat chart="4" format="115">
      <pivotArea type="data" outline="0" fieldPosition="0">
        <references count="4">
          <reference field="4294967294" count="1" selected="0">
            <x v="0"/>
          </reference>
          <reference field="2" count="1" selected="0">
            <x v="1"/>
          </reference>
          <reference field="15" count="1" selected="0">
            <x v="4"/>
          </reference>
          <reference field="16" count="1" selected="0">
            <x v="2"/>
          </reference>
        </references>
      </pivotArea>
    </chartFormat>
    <chartFormat chart="4" format="116" series="1">
      <pivotArea type="data" outline="0" fieldPosition="0">
        <references count="2">
          <reference field="4294967294" count="1" selected="0">
            <x v="0"/>
          </reference>
          <reference field="2" count="1" selected="0">
            <x v="2"/>
          </reference>
        </references>
      </pivotArea>
    </chartFormat>
    <chartFormat chart="4" format="117">
      <pivotArea type="data" outline="0" fieldPosition="0">
        <references count="4">
          <reference field="4294967294" count="1" selected="0">
            <x v="0"/>
          </reference>
          <reference field="2" count="1" selected="0">
            <x v="2"/>
          </reference>
          <reference field="15" count="1" selected="0">
            <x v="1"/>
          </reference>
          <reference field="16" count="1" selected="0">
            <x v="2"/>
          </reference>
        </references>
      </pivotArea>
    </chartFormat>
    <chartFormat chart="4" format="118">
      <pivotArea type="data" outline="0" fieldPosition="0">
        <references count="4">
          <reference field="4294967294" count="1" selected="0">
            <x v="0"/>
          </reference>
          <reference field="2" count="1" selected="0">
            <x v="2"/>
          </reference>
          <reference field="15" count="1" selected="0">
            <x v="2"/>
          </reference>
          <reference field="16" count="1" selected="0">
            <x v="2"/>
          </reference>
        </references>
      </pivotArea>
    </chartFormat>
    <chartFormat chart="4" format="119">
      <pivotArea type="data" outline="0" fieldPosition="0">
        <references count="4">
          <reference field="4294967294" count="1" selected="0">
            <x v="0"/>
          </reference>
          <reference field="2" count="1" selected="0">
            <x v="2"/>
          </reference>
          <reference field="15" count="1" selected="0">
            <x v="3"/>
          </reference>
          <reference field="16" count="1" selected="0">
            <x v="2"/>
          </reference>
        </references>
      </pivotArea>
    </chartFormat>
    <chartFormat chart="4" format="120">
      <pivotArea type="data" outline="0" fieldPosition="0">
        <references count="4">
          <reference field="4294967294" count="1" selected="0">
            <x v="0"/>
          </reference>
          <reference field="2" count="1" selected="0">
            <x v="2"/>
          </reference>
          <reference field="15" count="1" selected="0">
            <x v="4"/>
          </reference>
          <reference field="16" count="1" selected="0">
            <x v="2"/>
          </reference>
        </references>
      </pivotArea>
    </chartFormat>
    <chartFormat chart="4" format="121" series="1">
      <pivotArea type="data" outline="0" fieldPosition="0">
        <references count="2">
          <reference field="4294967294" count="1" selected="0">
            <x v="0"/>
          </reference>
          <reference field="2" count="1" selected="0">
            <x v="3"/>
          </reference>
        </references>
      </pivotArea>
    </chartFormat>
    <chartFormat chart="4" format="122">
      <pivotArea type="data" outline="0" fieldPosition="0">
        <references count="4">
          <reference field="4294967294" count="1" selected="0">
            <x v="0"/>
          </reference>
          <reference field="2" count="1" selected="0">
            <x v="3"/>
          </reference>
          <reference field="15" count="1" selected="0">
            <x v="1"/>
          </reference>
          <reference field="16" count="1" selected="0">
            <x v="2"/>
          </reference>
        </references>
      </pivotArea>
    </chartFormat>
    <chartFormat chart="4" format="123">
      <pivotArea type="data" outline="0" fieldPosition="0">
        <references count="4">
          <reference field="4294967294" count="1" selected="0">
            <x v="0"/>
          </reference>
          <reference field="2" count="1" selected="0">
            <x v="3"/>
          </reference>
          <reference field="15" count="1" selected="0">
            <x v="2"/>
          </reference>
          <reference field="16" count="1" selected="0">
            <x v="2"/>
          </reference>
        </references>
      </pivotArea>
    </chartFormat>
    <chartFormat chart="4" format="124">
      <pivotArea type="data" outline="0" fieldPosition="0">
        <references count="4">
          <reference field="4294967294" count="1" selected="0">
            <x v="0"/>
          </reference>
          <reference field="2" count="1" selected="0">
            <x v="3"/>
          </reference>
          <reference field="15" count="1" selected="0">
            <x v="3"/>
          </reference>
          <reference field="16" count="1" selected="0">
            <x v="2"/>
          </reference>
        </references>
      </pivotArea>
    </chartFormat>
    <chartFormat chart="4" format="125">
      <pivotArea type="data" outline="0" fieldPosition="0">
        <references count="4">
          <reference field="4294967294" count="1" selected="0">
            <x v="0"/>
          </reference>
          <reference field="2" count="1" selected="0">
            <x v="3"/>
          </reference>
          <reference field="15" count="1" selected="0">
            <x v="4"/>
          </reference>
          <reference field="16" count="1" selected="0">
            <x v="2"/>
          </reference>
        </references>
      </pivotArea>
    </chartFormat>
    <chartFormat chart="4" format="126" series="1">
      <pivotArea type="data" outline="0" fieldPosition="0">
        <references count="2">
          <reference field="4294967294" count="1" selected="0">
            <x v="0"/>
          </reference>
          <reference field="2" count="1" selected="0">
            <x v="4"/>
          </reference>
        </references>
      </pivotArea>
    </chartFormat>
    <chartFormat chart="4" format="127">
      <pivotArea type="data" outline="0" fieldPosition="0">
        <references count="4">
          <reference field="4294967294" count="1" selected="0">
            <x v="0"/>
          </reference>
          <reference field="2" count="1" selected="0">
            <x v="4"/>
          </reference>
          <reference field="15" count="1" selected="0">
            <x v="1"/>
          </reference>
          <reference field="16" count="1" selected="0">
            <x v="2"/>
          </reference>
        </references>
      </pivotArea>
    </chartFormat>
    <chartFormat chart="4" format="128">
      <pivotArea type="data" outline="0" fieldPosition="0">
        <references count="4">
          <reference field="4294967294" count="1" selected="0">
            <x v="0"/>
          </reference>
          <reference field="2" count="1" selected="0">
            <x v="4"/>
          </reference>
          <reference field="15" count="1" selected="0">
            <x v="2"/>
          </reference>
          <reference field="16" count="1" selected="0">
            <x v="2"/>
          </reference>
        </references>
      </pivotArea>
    </chartFormat>
    <chartFormat chart="4" format="129">
      <pivotArea type="data" outline="0" fieldPosition="0">
        <references count="4">
          <reference field="4294967294" count="1" selected="0">
            <x v="0"/>
          </reference>
          <reference field="2" count="1" selected="0">
            <x v="4"/>
          </reference>
          <reference field="15" count="1" selected="0">
            <x v="3"/>
          </reference>
          <reference field="16" count="1" selected="0">
            <x v="2"/>
          </reference>
        </references>
      </pivotArea>
    </chartFormat>
    <chartFormat chart="4" format="130">
      <pivotArea type="data" outline="0" fieldPosition="0">
        <references count="4">
          <reference field="4294967294" count="1" selected="0">
            <x v="0"/>
          </reference>
          <reference field="2" count="1" selected="0">
            <x v="4"/>
          </reference>
          <reference field="15" count="1" selected="0">
            <x v="4"/>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237CF8-10DB-48AB-8CB6-C39AA037ED67}" name="PivotTable12"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5:G82" firstHeaderRow="1" firstDataRow="2" firstDataCol="1"/>
  <pivotFields count="17">
    <pivotField dataField="1" showAll="0"/>
    <pivotField showAll="0"/>
    <pivotField axis="axisCol" showAll="0">
      <items count="6">
        <item x="4"/>
        <item x="3"/>
        <item x="2"/>
        <item x="1"/>
        <item x="0"/>
        <item t="default"/>
      </items>
    </pivotField>
    <pivotField showAll="0"/>
    <pivotField numFmtId="166" showAll="0"/>
    <pivotField axis="axisRow" numFmtId="14" showAll="0">
      <items count="92">
        <item x="23"/>
        <item x="34"/>
        <item x="67"/>
        <item x="30"/>
        <item x="56"/>
        <item x="3"/>
        <item x="84"/>
        <item x="73"/>
        <item x="31"/>
        <item x="86"/>
        <item x="44"/>
        <item x="29"/>
        <item x="75"/>
        <item x="71"/>
        <item x="10"/>
        <item x="52"/>
        <item x="53"/>
        <item x="40"/>
        <item x="88"/>
        <item x="15"/>
        <item x="9"/>
        <item x="64"/>
        <item x="25"/>
        <item x="50"/>
        <item x="14"/>
        <item x="20"/>
        <item x="87"/>
        <item x="74"/>
        <item x="80"/>
        <item x="79"/>
        <item x="58"/>
        <item x="69"/>
        <item x="43"/>
        <item x="28"/>
        <item x="21"/>
        <item x="4"/>
        <item x="32"/>
        <item x="8"/>
        <item x="54"/>
        <item x="77"/>
        <item x="36"/>
        <item x="17"/>
        <item x="63"/>
        <item x="62"/>
        <item x="26"/>
        <item x="76"/>
        <item x="89"/>
        <item x="5"/>
        <item x="57"/>
        <item x="6"/>
        <item x="83"/>
        <item x="37"/>
        <item x="46"/>
        <item x="66"/>
        <item x="68"/>
        <item x="38"/>
        <item x="55"/>
        <item x="39"/>
        <item x="81"/>
        <item x="12"/>
        <item x="1"/>
        <item x="11"/>
        <item x="7"/>
        <item x="42"/>
        <item x="59"/>
        <item x="2"/>
        <item x="82"/>
        <item x="49"/>
        <item x="61"/>
        <item x="47"/>
        <item x="51"/>
        <item x="41"/>
        <item x="16"/>
        <item x="22"/>
        <item x="35"/>
        <item x="60"/>
        <item x="18"/>
        <item x="45"/>
        <item x="78"/>
        <item x="19"/>
        <item x="24"/>
        <item x="27"/>
        <item x="85"/>
        <item x="48"/>
        <item x="0"/>
        <item x="13"/>
        <item x="65"/>
        <item x="72"/>
        <item x="70"/>
        <item x="33"/>
        <item x="90"/>
        <item t="default"/>
      </items>
    </pivotField>
    <pivotField showAll="0"/>
    <pivotField showAll="0"/>
    <pivotField showAll="0"/>
    <pivotField showAll="0"/>
    <pivotField numFmtId="166"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h="1" sd="0" x="0"/>
        <item sd="0" x="1"/>
        <item sd="0" x="2"/>
        <item sd="0" x="3"/>
        <item sd="0" x="4"/>
        <item h="1" sd="0" x="5"/>
      </items>
    </pivotField>
    <pivotField axis="axisRow" showAll="0" defaultSubtotal="0">
      <items count="5">
        <item h="1" sd="0" x="0"/>
        <item h="1" sd="0" x="1"/>
        <item h="1" sd="0" x="2"/>
        <item x="3"/>
        <item h="1" sd="0" x="4"/>
      </items>
    </pivotField>
  </pivotFields>
  <rowFields count="4">
    <field x="16"/>
    <field x="15"/>
    <field x="14"/>
    <field x="5"/>
  </rowFields>
  <rowItems count="6">
    <i>
      <x v="3"/>
    </i>
    <i r="1">
      <x v="1"/>
    </i>
    <i r="1">
      <x v="2"/>
    </i>
    <i r="1">
      <x v="3"/>
    </i>
    <i r="1">
      <x v="4"/>
    </i>
    <i t="grand">
      <x/>
    </i>
  </rowItems>
  <colFields count="1">
    <field x="2"/>
  </colFields>
  <colItems count="6">
    <i>
      <x/>
    </i>
    <i>
      <x v="1"/>
    </i>
    <i>
      <x v="2"/>
    </i>
    <i>
      <x v="3"/>
    </i>
    <i>
      <x v="4"/>
    </i>
    <i t="grand">
      <x/>
    </i>
  </colItems>
  <dataFields count="1">
    <dataField name="Count of Employee ID" fld="0" subtotal="count" baseField="0" baseItem="0"/>
  </dataFields>
  <formats count="11">
    <format dxfId="61">
      <pivotArea type="all" dataOnly="0" outline="0" fieldPosition="0"/>
    </format>
    <format dxfId="60">
      <pivotArea outline="0" collapsedLevelsAreSubtotals="1" fieldPosition="0"/>
    </format>
    <format dxfId="59">
      <pivotArea type="origin" dataOnly="0" labelOnly="1" outline="0" fieldPosition="0"/>
    </format>
    <format dxfId="58">
      <pivotArea field="2" type="button" dataOnly="0" labelOnly="1" outline="0" axis="axisCol" fieldPosition="0"/>
    </format>
    <format dxfId="57">
      <pivotArea type="topRight" dataOnly="0" labelOnly="1" outline="0" fieldPosition="0"/>
    </format>
    <format dxfId="56">
      <pivotArea field="16" type="button" dataOnly="0" labelOnly="1" outline="0" axis="axisRow" fieldPosition="0"/>
    </format>
    <format dxfId="55">
      <pivotArea dataOnly="0" labelOnly="1" fieldPosition="0">
        <references count="1">
          <reference field="16" count="0"/>
        </references>
      </pivotArea>
    </format>
    <format dxfId="54">
      <pivotArea dataOnly="0" labelOnly="1" grandRow="1" outline="0" fieldPosition="0"/>
    </format>
    <format dxfId="53">
      <pivotArea dataOnly="0" labelOnly="1" fieldPosition="0">
        <references count="2">
          <reference field="15" count="0"/>
          <reference field="16" count="0" selected="0"/>
        </references>
      </pivotArea>
    </format>
    <format dxfId="52">
      <pivotArea dataOnly="0" labelOnly="1" fieldPosition="0">
        <references count="1">
          <reference field="2" count="0"/>
        </references>
      </pivotArea>
    </format>
    <format dxfId="51">
      <pivotArea dataOnly="0" labelOnly="1" grandCol="1" outline="0" fieldPosition="0"/>
    </format>
  </formats>
  <chartFormats count="10">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5" format="2" series="1">
      <pivotArea type="data" outline="0" fieldPosition="0">
        <references count="2">
          <reference field="4294967294" count="1" selected="0">
            <x v="0"/>
          </reference>
          <reference field="2" count="1" selected="0">
            <x v="2"/>
          </reference>
        </references>
      </pivotArea>
    </chartFormat>
    <chartFormat chart="5" format="3" series="1">
      <pivotArea type="data" outline="0" fieldPosition="0">
        <references count="2">
          <reference field="4294967294" count="1" selected="0">
            <x v="0"/>
          </reference>
          <reference field="2" count="1" selected="0">
            <x v="3"/>
          </reference>
        </references>
      </pivotArea>
    </chartFormat>
    <chartFormat chart="5"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4E8A3F-A5A2-42B6-96DE-E53AED479F55}" name="PivotTable8" cacheId="7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39:G46" firstHeaderRow="1" firstDataRow="2" firstDataCol="1"/>
  <pivotFields count="17">
    <pivotField dataField="1" showAll="0"/>
    <pivotField showAll="0"/>
    <pivotField axis="axisCol" showAll="0">
      <items count="6">
        <item x="4"/>
        <item x="3"/>
        <item x="2"/>
        <item x="1"/>
        <item x="0"/>
        <item t="default"/>
      </items>
    </pivotField>
    <pivotField showAll="0"/>
    <pivotField numFmtId="166" showAll="0"/>
    <pivotField axis="axisRow" numFmtId="14" showAll="0">
      <items count="92">
        <item x="23"/>
        <item x="34"/>
        <item x="67"/>
        <item x="30"/>
        <item x="56"/>
        <item x="3"/>
        <item x="84"/>
        <item x="73"/>
        <item x="31"/>
        <item x="86"/>
        <item x="44"/>
        <item x="29"/>
        <item x="75"/>
        <item x="71"/>
        <item x="10"/>
        <item x="52"/>
        <item x="53"/>
        <item x="40"/>
        <item x="88"/>
        <item x="15"/>
        <item x="9"/>
        <item x="64"/>
        <item x="25"/>
        <item x="50"/>
        <item x="14"/>
        <item x="20"/>
        <item x="87"/>
        <item x="74"/>
        <item x="80"/>
        <item x="79"/>
        <item x="58"/>
        <item x="69"/>
        <item x="43"/>
        <item x="28"/>
        <item x="21"/>
        <item x="4"/>
        <item x="32"/>
        <item x="8"/>
        <item x="54"/>
        <item x="77"/>
        <item x="36"/>
        <item x="17"/>
        <item x="63"/>
        <item x="62"/>
        <item x="26"/>
        <item x="76"/>
        <item x="89"/>
        <item x="5"/>
        <item x="57"/>
        <item x="6"/>
        <item x="83"/>
        <item x="37"/>
        <item x="46"/>
        <item x="66"/>
        <item x="68"/>
        <item x="38"/>
        <item x="55"/>
        <item x="39"/>
        <item x="81"/>
        <item x="12"/>
        <item x="1"/>
        <item x="11"/>
        <item x="7"/>
        <item x="42"/>
        <item x="59"/>
        <item x="2"/>
        <item x="82"/>
        <item x="49"/>
        <item x="61"/>
        <item x="47"/>
        <item x="51"/>
        <item x="41"/>
        <item x="16"/>
        <item x="22"/>
        <item x="35"/>
        <item x="60"/>
        <item x="18"/>
        <item x="45"/>
        <item x="78"/>
        <item x="19"/>
        <item x="24"/>
        <item x="27"/>
        <item x="85"/>
        <item x="48"/>
        <item x="0"/>
        <item x="13"/>
        <item x="65"/>
        <item x="72"/>
        <item x="70"/>
        <item x="33"/>
        <item x="90"/>
        <item t="default"/>
      </items>
    </pivotField>
    <pivotField showAll="0"/>
    <pivotField showAll="0"/>
    <pivotField showAll="0"/>
    <pivotField showAll="0"/>
    <pivotField numFmtId="166"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h="1" sd="0" x="0"/>
        <item sd="0" x="1"/>
        <item sd="0" x="2"/>
        <item sd="0" x="3"/>
        <item sd="0" x="4"/>
        <item h="1" sd="0" x="5"/>
        <item t="default" sd="0"/>
      </items>
    </pivotField>
    <pivotField axis="axisRow" showAll="0">
      <items count="6">
        <item h="1" x="0"/>
        <item x="1"/>
        <item h="1" x="2"/>
        <item h="1" x="3"/>
        <item h="1" x="4"/>
        <item t="default"/>
      </items>
    </pivotField>
  </pivotFields>
  <rowFields count="4">
    <field x="16"/>
    <field x="15"/>
    <field x="14"/>
    <field x="5"/>
  </rowFields>
  <rowItems count="6">
    <i>
      <x v="1"/>
    </i>
    <i r="1">
      <x v="1"/>
    </i>
    <i r="1">
      <x v="2"/>
    </i>
    <i r="1">
      <x v="3"/>
    </i>
    <i r="1">
      <x v="4"/>
    </i>
    <i t="grand">
      <x/>
    </i>
  </rowItems>
  <colFields count="1">
    <field x="2"/>
  </colFields>
  <colItems count="6">
    <i>
      <x/>
    </i>
    <i>
      <x v="1"/>
    </i>
    <i>
      <x v="2"/>
    </i>
    <i>
      <x v="3"/>
    </i>
    <i>
      <x v="4"/>
    </i>
    <i t="grand">
      <x/>
    </i>
  </colItems>
  <dataFields count="1">
    <dataField name="Count of Employee ID" fld="0" subtotal="count" baseField="0" baseItem="0"/>
  </dataFields>
  <formats count="7">
    <format dxfId="43">
      <pivotArea outline="0" collapsedLevelsAreSubtotals="1" fieldPosition="0"/>
    </format>
    <format dxfId="42">
      <pivotArea field="16" type="button" dataOnly="0" labelOnly="1" outline="0" axis="axisRow" fieldPosition="0"/>
    </format>
    <format dxfId="41">
      <pivotArea dataOnly="0" labelOnly="1" fieldPosition="0">
        <references count="1">
          <reference field="16" count="0"/>
        </references>
      </pivotArea>
    </format>
    <format dxfId="40">
      <pivotArea dataOnly="0" labelOnly="1" grandRow="1" outline="0" fieldPosition="0"/>
    </format>
    <format dxfId="39">
      <pivotArea dataOnly="0" labelOnly="1" fieldPosition="0">
        <references count="2">
          <reference field="15" count="0"/>
          <reference field="16" count="0" selected="0"/>
        </references>
      </pivotArea>
    </format>
    <format dxfId="38">
      <pivotArea dataOnly="0" labelOnly="1" fieldPosition="0">
        <references count="1">
          <reference field="2" count="0"/>
        </references>
      </pivotArea>
    </format>
    <format dxfId="37">
      <pivotArea dataOnly="0" labelOnly="1" grandCol="1" outline="0" fieldPosition="0"/>
    </format>
  </formats>
  <chartFormats count="32">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4" format="30" series="1">
      <pivotArea type="data" outline="0" fieldPosition="0">
        <references count="2">
          <reference field="4294967294" count="1" selected="0">
            <x v="0"/>
          </reference>
          <reference field="2" count="1" selected="0">
            <x v="0"/>
          </reference>
        </references>
      </pivotArea>
    </chartFormat>
    <chartFormat chart="4" format="31">
      <pivotArea type="data" outline="0" fieldPosition="0">
        <references count="4">
          <reference field="4294967294" count="1" selected="0">
            <x v="0"/>
          </reference>
          <reference field="2" count="1" selected="0">
            <x v="0"/>
          </reference>
          <reference field="15" count="1" selected="0">
            <x v="1"/>
          </reference>
          <reference field="16" count="1" selected="0">
            <x v="1"/>
          </reference>
        </references>
      </pivotArea>
    </chartFormat>
    <chartFormat chart="4" format="32">
      <pivotArea type="data" outline="0" fieldPosition="0">
        <references count="4">
          <reference field="4294967294" count="1" selected="0">
            <x v="0"/>
          </reference>
          <reference field="2" count="1" selected="0">
            <x v="0"/>
          </reference>
          <reference field="15" count="1" selected="0">
            <x v="2"/>
          </reference>
          <reference field="16" count="1" selected="0">
            <x v="1"/>
          </reference>
        </references>
      </pivotArea>
    </chartFormat>
    <chartFormat chart="4" format="33">
      <pivotArea type="data" outline="0" fieldPosition="0">
        <references count="4">
          <reference field="4294967294" count="1" selected="0">
            <x v="0"/>
          </reference>
          <reference field="2" count="1" selected="0">
            <x v="0"/>
          </reference>
          <reference field="15" count="1" selected="0">
            <x v="3"/>
          </reference>
          <reference field="16" count="1" selected="0">
            <x v="1"/>
          </reference>
        </references>
      </pivotArea>
    </chartFormat>
    <chartFormat chart="4" format="34">
      <pivotArea type="data" outline="0" fieldPosition="0">
        <references count="4">
          <reference field="4294967294" count="1" selected="0">
            <x v="0"/>
          </reference>
          <reference field="2" count="1" selected="0">
            <x v="0"/>
          </reference>
          <reference field="15" count="1" selected="0">
            <x v="4"/>
          </reference>
          <reference field="16" count="1" selected="0">
            <x v="1"/>
          </reference>
        </references>
      </pivotArea>
    </chartFormat>
    <chartFormat chart="4" format="35" series="1">
      <pivotArea type="data" outline="0" fieldPosition="0">
        <references count="2">
          <reference field="4294967294" count="1" selected="0">
            <x v="0"/>
          </reference>
          <reference field="2" count="1" selected="0">
            <x v="1"/>
          </reference>
        </references>
      </pivotArea>
    </chartFormat>
    <chartFormat chart="4" format="36">
      <pivotArea type="data" outline="0" fieldPosition="0">
        <references count="4">
          <reference field="4294967294" count="1" selected="0">
            <x v="0"/>
          </reference>
          <reference field="2" count="1" selected="0">
            <x v="1"/>
          </reference>
          <reference field="15" count="1" selected="0">
            <x v="1"/>
          </reference>
          <reference field="16" count="1" selected="0">
            <x v="1"/>
          </reference>
        </references>
      </pivotArea>
    </chartFormat>
    <chartFormat chart="4" format="37">
      <pivotArea type="data" outline="0" fieldPosition="0">
        <references count="4">
          <reference field="4294967294" count="1" selected="0">
            <x v="0"/>
          </reference>
          <reference field="2" count="1" selected="0">
            <x v="1"/>
          </reference>
          <reference field="15" count="1" selected="0">
            <x v="2"/>
          </reference>
          <reference field="16" count="1" selected="0">
            <x v="1"/>
          </reference>
        </references>
      </pivotArea>
    </chartFormat>
    <chartFormat chart="4" format="38">
      <pivotArea type="data" outline="0" fieldPosition="0">
        <references count="4">
          <reference field="4294967294" count="1" selected="0">
            <x v="0"/>
          </reference>
          <reference field="2" count="1" selected="0">
            <x v="1"/>
          </reference>
          <reference field="15" count="1" selected="0">
            <x v="3"/>
          </reference>
          <reference field="16" count="1" selected="0">
            <x v="1"/>
          </reference>
        </references>
      </pivotArea>
    </chartFormat>
    <chartFormat chart="4" format="39">
      <pivotArea type="data" outline="0" fieldPosition="0">
        <references count="4">
          <reference field="4294967294" count="1" selected="0">
            <x v="0"/>
          </reference>
          <reference field="2" count="1" selected="0">
            <x v="1"/>
          </reference>
          <reference field="15" count="1" selected="0">
            <x v="4"/>
          </reference>
          <reference field="16" count="1" selected="0">
            <x v="1"/>
          </reference>
        </references>
      </pivotArea>
    </chartFormat>
    <chartFormat chart="4" format="40" series="1">
      <pivotArea type="data" outline="0" fieldPosition="0">
        <references count="2">
          <reference field="4294967294" count="1" selected="0">
            <x v="0"/>
          </reference>
          <reference field="2" count="1" selected="0">
            <x v="2"/>
          </reference>
        </references>
      </pivotArea>
    </chartFormat>
    <chartFormat chart="4" format="41">
      <pivotArea type="data" outline="0" fieldPosition="0">
        <references count="4">
          <reference field="4294967294" count="1" selected="0">
            <x v="0"/>
          </reference>
          <reference field="2" count="1" selected="0">
            <x v="2"/>
          </reference>
          <reference field="15" count="1" selected="0">
            <x v="1"/>
          </reference>
          <reference field="16" count="1" selected="0">
            <x v="1"/>
          </reference>
        </references>
      </pivotArea>
    </chartFormat>
    <chartFormat chart="4" format="42">
      <pivotArea type="data" outline="0" fieldPosition="0">
        <references count="4">
          <reference field="4294967294" count="1" selected="0">
            <x v="0"/>
          </reference>
          <reference field="2" count="1" selected="0">
            <x v="2"/>
          </reference>
          <reference field="15" count="1" selected="0">
            <x v="2"/>
          </reference>
          <reference field="16" count="1" selected="0">
            <x v="1"/>
          </reference>
        </references>
      </pivotArea>
    </chartFormat>
    <chartFormat chart="4" format="43">
      <pivotArea type="data" outline="0" fieldPosition="0">
        <references count="4">
          <reference field="4294967294" count="1" selected="0">
            <x v="0"/>
          </reference>
          <reference field="2" count="1" selected="0">
            <x v="2"/>
          </reference>
          <reference field="15" count="1" selected="0">
            <x v="3"/>
          </reference>
          <reference field="16" count="1" selected="0">
            <x v="1"/>
          </reference>
        </references>
      </pivotArea>
    </chartFormat>
    <chartFormat chart="4" format="44">
      <pivotArea type="data" outline="0" fieldPosition="0">
        <references count="4">
          <reference field="4294967294" count="1" selected="0">
            <x v="0"/>
          </reference>
          <reference field="2" count="1" selected="0">
            <x v="2"/>
          </reference>
          <reference field="15" count="1" selected="0">
            <x v="4"/>
          </reference>
          <reference field="16" count="1" selected="0">
            <x v="1"/>
          </reference>
        </references>
      </pivotArea>
    </chartFormat>
    <chartFormat chart="4" format="45" series="1">
      <pivotArea type="data" outline="0" fieldPosition="0">
        <references count="2">
          <reference field="4294967294" count="1" selected="0">
            <x v="0"/>
          </reference>
          <reference field="2" count="1" selected="0">
            <x v="3"/>
          </reference>
        </references>
      </pivotArea>
    </chartFormat>
    <chartFormat chart="4" format="46">
      <pivotArea type="data" outline="0" fieldPosition="0">
        <references count="4">
          <reference field="4294967294" count="1" selected="0">
            <x v="0"/>
          </reference>
          <reference field="2" count="1" selected="0">
            <x v="3"/>
          </reference>
          <reference field="15" count="1" selected="0">
            <x v="1"/>
          </reference>
          <reference field="16" count="1" selected="0">
            <x v="1"/>
          </reference>
        </references>
      </pivotArea>
    </chartFormat>
    <chartFormat chart="4" format="47">
      <pivotArea type="data" outline="0" fieldPosition="0">
        <references count="4">
          <reference field="4294967294" count="1" selected="0">
            <x v="0"/>
          </reference>
          <reference field="2" count="1" selected="0">
            <x v="3"/>
          </reference>
          <reference field="15" count="1" selected="0">
            <x v="2"/>
          </reference>
          <reference field="16" count="1" selected="0">
            <x v="1"/>
          </reference>
        </references>
      </pivotArea>
    </chartFormat>
    <chartFormat chart="4" format="48">
      <pivotArea type="data" outline="0" fieldPosition="0">
        <references count="4">
          <reference field="4294967294" count="1" selected="0">
            <x v="0"/>
          </reference>
          <reference field="2" count="1" selected="0">
            <x v="3"/>
          </reference>
          <reference field="15" count="1" selected="0">
            <x v="3"/>
          </reference>
          <reference field="16" count="1" selected="0">
            <x v="1"/>
          </reference>
        </references>
      </pivotArea>
    </chartFormat>
    <chartFormat chart="4" format="49">
      <pivotArea type="data" outline="0" fieldPosition="0">
        <references count="4">
          <reference field="4294967294" count="1" selected="0">
            <x v="0"/>
          </reference>
          <reference field="2" count="1" selected="0">
            <x v="3"/>
          </reference>
          <reference field="15" count="1" selected="0">
            <x v="4"/>
          </reference>
          <reference field="16" count="1" selected="0">
            <x v="1"/>
          </reference>
        </references>
      </pivotArea>
    </chartFormat>
    <chartFormat chart="4" format="50" series="1">
      <pivotArea type="data" outline="0" fieldPosition="0">
        <references count="2">
          <reference field="4294967294" count="1" selected="0">
            <x v="0"/>
          </reference>
          <reference field="2" count="1" selected="0">
            <x v="4"/>
          </reference>
        </references>
      </pivotArea>
    </chartFormat>
    <chartFormat chart="4" format="51">
      <pivotArea type="data" outline="0" fieldPosition="0">
        <references count="4">
          <reference field="4294967294" count="1" selected="0">
            <x v="0"/>
          </reference>
          <reference field="2" count="1" selected="0">
            <x v="4"/>
          </reference>
          <reference field="15" count="1" selected="0">
            <x v="1"/>
          </reference>
          <reference field="16" count="1" selected="0">
            <x v="1"/>
          </reference>
        </references>
      </pivotArea>
    </chartFormat>
    <chartFormat chart="4" format="52">
      <pivotArea type="data" outline="0" fieldPosition="0">
        <references count="4">
          <reference field="4294967294" count="1" selected="0">
            <x v="0"/>
          </reference>
          <reference field="2" count="1" selected="0">
            <x v="4"/>
          </reference>
          <reference field="15" count="1" selected="0">
            <x v="2"/>
          </reference>
          <reference field="16" count="1" selected="0">
            <x v="1"/>
          </reference>
        </references>
      </pivotArea>
    </chartFormat>
    <chartFormat chart="4" format="53">
      <pivotArea type="data" outline="0" fieldPosition="0">
        <references count="4">
          <reference field="4294967294" count="1" selected="0">
            <x v="0"/>
          </reference>
          <reference field="2" count="1" selected="0">
            <x v="4"/>
          </reference>
          <reference field="15" count="1" selected="0">
            <x v="3"/>
          </reference>
          <reference field="16" count="1" selected="0">
            <x v="1"/>
          </reference>
        </references>
      </pivotArea>
    </chartFormat>
    <chartFormat chart="4" format="54">
      <pivotArea type="data" outline="0" fieldPosition="0">
        <references count="4">
          <reference field="4294967294" count="1" selected="0">
            <x v="0"/>
          </reference>
          <reference field="2" count="1" selected="0">
            <x v="4"/>
          </reference>
          <reference field="15" count="1" selected="0">
            <x v="4"/>
          </reference>
          <reference field="16" count="1" selected="0">
            <x v="1"/>
          </reference>
        </references>
      </pivotArea>
    </chartFormat>
    <chartFormat chart="4" format="55"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274D6F-52F4-45C4-B456-D65687B9D3EA}" name="PivotTable5" cacheId="84" applyNumberFormats="0" applyBorderFormats="0" applyFontFormats="0" applyPatternFormats="0" applyAlignmentFormats="0" applyWidthHeightFormats="1" dataCaption="Values" tag="d961ed39-6021-44f7-b30b-0c1dc45f6f26" updatedVersion="8" minRefreshableVersion="3" useAutoFormatting="1" itemPrintTitles="1" createdVersion="8" indent="0" outline="1" outlineData="1" multipleFieldFilters="0" chartFormat="4">
  <location ref="B22:H29"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Fields count="1">
    <field x="1"/>
  </colFields>
  <colItems count="6">
    <i>
      <x/>
    </i>
    <i>
      <x v="1"/>
    </i>
    <i>
      <x v="2"/>
    </i>
    <i>
      <x v="3"/>
    </i>
    <i>
      <x v="4"/>
    </i>
    <i t="grand">
      <x/>
    </i>
  </colItems>
  <dataFields count="1">
    <dataField name="Count of Salary" fld="2" subtotal="count" baseField="0" baseItem="0"/>
  </dataFields>
  <formats count="10">
    <format dxfId="36">
      <pivotArea type="all" dataOnly="0" outline="0" fieldPosition="0"/>
    </format>
    <format dxfId="35">
      <pivotArea outline="0" collapsedLevelsAreSubtotals="1" fieldPosition="0"/>
    </format>
    <format dxfId="34">
      <pivotArea type="origin" dataOnly="0" labelOnly="1" outline="0" fieldPosition="0"/>
    </format>
    <format dxfId="33">
      <pivotArea field="1" type="button" dataOnly="0" labelOnly="1" outline="0" axis="axisCol" fieldPosition="0"/>
    </format>
    <format dxfId="32">
      <pivotArea type="topRight" dataOnly="0" labelOnly="1" outline="0"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fieldPosition="0">
        <references count="1">
          <reference field="1" count="0"/>
        </references>
      </pivotArea>
    </format>
    <format dxfId="27">
      <pivotArea dataOnly="0" labelOnly="1" grandCol="1" outline="0" fieldPosition="0"/>
    </format>
  </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2"/>
          </reference>
        </references>
      </pivotArea>
    </chartFormat>
    <chartFormat chart="2" format="13" series="1">
      <pivotArea type="data" outline="0" fieldPosition="0">
        <references count="2">
          <reference field="4294967294" count="1" selected="0">
            <x v="0"/>
          </reference>
          <reference field="1" count="1" selected="0">
            <x v="3"/>
          </reference>
        </references>
      </pivotArea>
    </chartFormat>
    <chartFormat chart="2" format="14" series="1">
      <pivotArea type="data" outline="0" fieldPosition="0">
        <references count="2">
          <reference field="4294967294" count="1" selected="0">
            <x v="0"/>
          </reference>
          <reference field="1" count="1" selected="0">
            <x v="4"/>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Salar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041554-26BE-4A2E-B8CC-EC569A6E4A38}" name="PivotTable1" cacheId="81" applyNumberFormats="0" applyBorderFormats="0" applyFontFormats="0" applyPatternFormats="0" applyAlignmentFormats="0" applyWidthHeightFormats="1" dataCaption="Values" tag="f76a9467-45e0-488b-bec2-7257a6758b3f" updatedVersion="8" minRefreshableVersion="3" useAutoFormatting="1" itemPrintTitles="1" createdVersion="8" indent="0" outline="1" outlineData="1" multipleFieldFilters="0" chartFormat="12">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Employee ID" fld="1" subtotal="count" baseField="0" baseItem="0"/>
  </dataFields>
  <formats count="6">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5C353C9-4A65-4195-B697-64855337FA33}" autoFormatId="16" applyNumberFormats="0" applyBorderFormats="0" applyFontFormats="0" applyPatternFormats="0" applyAlignmentFormats="0" applyWidthHeightFormats="0">
  <queryTableRefresh nextId="25" unboundColumnsRight="6">
    <queryTableFields count="16">
      <queryTableField id="1" name="Employee ID" tableColumnId="1"/>
      <queryTableField id="2" name="Name" tableColumnId="2"/>
      <queryTableField id="3" name="Department" tableColumnId="3"/>
      <queryTableField id="4" name="Country" tableColumnId="4"/>
      <queryTableField id="5" name="Salary" tableColumnId="5"/>
      <queryTableField id="6" name="Date of Joining" tableColumnId="6"/>
      <queryTableField id="7" name="Performance Rating" tableColumnId="7"/>
      <queryTableField id="8" name="Gender" tableColumnId="8"/>
      <queryTableField id="9" name="Email" tableColumnId="9"/>
      <queryTableField id="24" name="Custom" tableColumnId="24"/>
      <queryTableField id="15" dataBound="0" tableColumnId="15"/>
      <queryTableField id="16" dataBound="0" tableColumnId="16"/>
      <queryTableField id="18" dataBound="0" tableColumnId="18"/>
      <queryTableField id="19" dataBound="0" tableColumnId="19"/>
      <queryTableField id="20" dataBound="0" tableColumnId="20"/>
      <queryTableField id="22" dataBound="0" tableColumnId="22"/>
    </queryTableFields>
  </queryTableRefresh>
  <extLst>
    <ext xmlns:x15="http://schemas.microsoft.com/office/spreadsheetml/2010/11/main" uri="{883FBD77-0823-4a55-B5E3-86C4891E6966}">
      <x15:queryTable sourceDataName="Query - Sheet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89C403C-8645-4D96-894A-61987BF050B2}" sourceName="Department">
  <pivotTables>
    <pivotTable tabId="3" name="PivotTable8"/>
  </pivotTables>
  <data>
    <tabular pivotCacheId="447531930">
      <items count="5">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A0EB28D2-EA81-427B-9E51-3DF56210EF21}" sourceName="Department">
  <pivotTables>
    <pivotTable tabId="3" name="PivotTable13"/>
  </pivotTables>
  <data>
    <tabular pivotCacheId="447531930">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53238CAD-64A3-4F7C-82C6-16F7FE9FE7E6}" sourceName="Department">
  <pivotTables>
    <pivotTable tabId="3" name="PivotTable12"/>
  </pivotTables>
  <data>
    <tabular pivotCacheId="447531930">
      <items count="5">
        <i x="4" s="1"/>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A5FF2A17-0A36-4460-B49B-B732ABE881F3}" sourceName="Department">
  <pivotTables>
    <pivotTable tabId="3" name="PivotTable15"/>
  </pivotTables>
  <data>
    <tabular pivotCacheId="447531930">
      <items count="5">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C928E8A-EA9B-4949-AE9C-97F76DA8E557}" cache="Slicer_Department" caption="Department" rowHeight="241300"/>
  <slicer name="Department 1" xr10:uid="{C2C1C974-FE86-430E-A2E1-97B6B36831F1}" cache="Slicer_Department1" caption="Department" rowHeight="241300"/>
  <slicer name="Department 2" xr10:uid="{6D14A8B0-6F1C-44E9-B56F-1ABA67D69219}" cache="Slicer_Department2" caption="Department" rowHeight="241300"/>
  <slicer name="Department 3" xr10:uid="{5635F63F-8A35-4A03-9ABA-7CB0A7EE3956}" cache="Slicer_Department3" caption="Depart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AACB6F-BFD2-424F-A141-C7F1DB223775}" name="Sheet1" displayName="Sheet1" ref="A1:P100" tableType="queryTable" totalsRowShown="0" headerRowDxfId="63">
  <autoFilter ref="A1:P100" xr:uid="{FCAACB6F-BFD2-424F-A141-C7F1DB223775}"/>
  <sortState xmlns:xlrd2="http://schemas.microsoft.com/office/spreadsheetml/2017/richdata2" ref="A2:P100">
    <sortCondition ref="L1:L100"/>
  </sortState>
  <tableColumns count="16">
    <tableColumn id="1" xr3:uid="{61A09B4F-7DB4-467B-8A3D-7160815A8531}" uniqueName="1" name="Employee ID" queryTableFieldId="1" dataDxfId="17"/>
    <tableColumn id="2" xr3:uid="{DD302E46-52BD-4880-A221-52BF8E45BB37}" uniqueName="2" name="Name" queryTableFieldId="2" dataDxfId="16"/>
    <tableColumn id="3" xr3:uid="{F785FFCA-21D1-47CB-9E7F-D336E2A12768}" uniqueName="3" name="Department" queryTableFieldId="3" dataDxfId="15"/>
    <tableColumn id="4" xr3:uid="{088BAF47-B2A6-4597-A781-6F56842B0E75}" uniqueName="4" name="Country" queryTableFieldId="4" dataDxfId="14"/>
    <tableColumn id="5" xr3:uid="{49FB5B82-ABF3-4D8D-9B34-76DFBEE03909}" uniqueName="5" name="Salary" queryTableFieldId="5" dataDxfId="13"/>
    <tableColumn id="6" xr3:uid="{7587D638-1061-4FDF-ABD7-782365D0E2C0}" uniqueName="6" name="Date of Joining" queryTableFieldId="6" dataDxfId="12"/>
    <tableColumn id="7" xr3:uid="{24FB8D84-0884-46AF-970E-D657F3798EA3}" uniqueName="7" name="Performance Rating" queryTableFieldId="7"/>
    <tableColumn id="8" xr3:uid="{43A93F21-A4CD-41A2-9524-B7BA887B2B48}" uniqueName="8" name="Gender" queryTableFieldId="8" dataDxfId="11"/>
    <tableColumn id="9" xr3:uid="{2C8BF387-B219-4ACA-8C9E-9E3F527A3C7C}" uniqueName="9" name="Email" queryTableFieldId="9" dataDxfId="10"/>
    <tableColumn id="24" xr3:uid="{0F5A88A7-1632-4267-952B-2755EDBC32E1}" uniqueName="24" name="Peformance_label" queryTableFieldId="24"/>
    <tableColumn id="15" xr3:uid="{F5187E65-C5A7-4F12-BE81-A46033F72191}" uniqueName="15" name="Commision" queryTableFieldId="15" dataDxfId="9">
      <calculatedColumnFormula>IF(G2=5,E2*20%,IF(G2=4,E2*15%,IF(G2=3,E2*10%,IF(G2=2,E2*5%,))))</calculatedColumnFormula>
    </tableColumn>
    <tableColumn id="16" xr3:uid="{36883E11-BF62-45A0-98D7-0F68A8C87C80}" uniqueName="16" name="Total_salary" queryTableFieldId="16" dataDxfId="8">
      <calculatedColumnFormula>E2+K2</calculatedColumnFormula>
    </tableColumn>
    <tableColumn id="18" xr3:uid="{EADC3D28-3A48-4F86-A7A9-FD22F43BB670}" uniqueName="18" name="Joining_year" queryTableFieldId="18" dataDxfId="7">
      <calculatedColumnFormula>YEAR(Sheet1[[#This Row],[Date of Joining]])</calculatedColumnFormula>
    </tableColumn>
    <tableColumn id="19" xr3:uid="{6941767B-EA42-4066-B781-8D6CD05E66DB}" uniqueName="19" name="Joining _month" queryTableFieldId="19" dataDxfId="6">
      <calculatedColumnFormula>MONTH(Sheet1[[#This Row],[Date of Joining]])</calculatedColumnFormula>
    </tableColumn>
    <tableColumn id="20" xr3:uid="{BE866118-FC84-4247-9023-9985B09BBF96}" uniqueName="20" name="Tenure" queryTableFieldId="20" dataDxfId="5">
      <calculatedColumnFormula>DATEDIF(F2,TODAY(),"Y")</calculatedColumnFormula>
    </tableColumn>
    <tableColumn id="22" xr3:uid="{F62E8C86-CB4E-4411-B346-E67220885A04}" uniqueName="22" name="Present_Date" queryTableFieldId="22" dataDxfId="4">
      <calculatedColumnFormula>NOW()</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E0634-06A0-40C5-9B36-816C02CC3CA7}">
  <dimension ref="A3:M115"/>
  <sheetViews>
    <sheetView topLeftCell="A100" workbookViewId="0">
      <selection activeCell="G88" sqref="G88"/>
    </sheetView>
  </sheetViews>
  <sheetFormatPr defaultRowHeight="15" x14ac:dyDescent="0.25"/>
  <cols>
    <col min="1" max="1" width="13.140625" bestFit="1" customWidth="1"/>
    <col min="2" max="2" width="14.42578125" bestFit="1" customWidth="1"/>
    <col min="3" max="3" width="16.28515625" bestFit="1" customWidth="1"/>
    <col min="4" max="4" width="9.140625" bestFit="1" customWidth="1"/>
    <col min="5" max="5" width="5.42578125" bestFit="1" customWidth="1"/>
    <col min="6" max="6" width="3.5703125" bestFit="1" customWidth="1"/>
    <col min="7" max="7" width="4.7109375" bestFit="1" customWidth="1"/>
    <col min="8" max="8" width="11.28515625" bestFit="1" customWidth="1"/>
    <col min="9" max="98" width="9" bestFit="1" customWidth="1"/>
    <col min="99" max="99" width="11.28515625" bestFit="1" customWidth="1"/>
  </cols>
  <sheetData>
    <row r="3" spans="1:13" x14ac:dyDescent="0.25">
      <c r="A3" s="17" t="s">
        <v>238</v>
      </c>
      <c r="B3" s="7" t="s">
        <v>241</v>
      </c>
      <c r="M3" t="s">
        <v>242</v>
      </c>
    </row>
    <row r="4" spans="1:13" x14ac:dyDescent="0.25">
      <c r="A4" s="18">
        <v>2015</v>
      </c>
      <c r="B4" s="19">
        <v>42</v>
      </c>
    </row>
    <row r="5" spans="1:13" x14ac:dyDescent="0.25">
      <c r="A5" s="18">
        <v>2016</v>
      </c>
      <c r="B5" s="19">
        <v>37</v>
      </c>
    </row>
    <row r="6" spans="1:13" x14ac:dyDescent="0.25">
      <c r="A6" s="18">
        <v>2017</v>
      </c>
      <c r="B6" s="19">
        <v>18</v>
      </c>
    </row>
    <row r="7" spans="1:13" x14ac:dyDescent="0.25">
      <c r="A7" s="18" t="s">
        <v>239</v>
      </c>
      <c r="B7" s="19">
        <v>97</v>
      </c>
    </row>
    <row r="22" spans="2:8" x14ac:dyDescent="0.25">
      <c r="B22" s="17" t="s">
        <v>244</v>
      </c>
      <c r="C22" s="17" t="s">
        <v>240</v>
      </c>
      <c r="D22" s="7"/>
      <c r="E22" s="7"/>
      <c r="F22" s="7"/>
      <c r="G22" s="7"/>
      <c r="H22" s="7"/>
    </row>
    <row r="23" spans="2:8" x14ac:dyDescent="0.25">
      <c r="B23" s="17" t="s">
        <v>238</v>
      </c>
      <c r="C23" s="7" t="s">
        <v>60</v>
      </c>
      <c r="D23" s="7" t="s">
        <v>17</v>
      </c>
      <c r="E23" s="7" t="s">
        <v>12</v>
      </c>
      <c r="F23" s="7" t="s">
        <v>43</v>
      </c>
      <c r="G23" s="7" t="s">
        <v>26</v>
      </c>
      <c r="H23" s="7" t="s">
        <v>239</v>
      </c>
    </row>
    <row r="24" spans="2:8" x14ac:dyDescent="0.25">
      <c r="B24" s="18" t="s">
        <v>11</v>
      </c>
      <c r="C24" s="19">
        <v>2</v>
      </c>
      <c r="D24" s="19">
        <v>1</v>
      </c>
      <c r="E24" s="19">
        <v>7</v>
      </c>
      <c r="F24" s="19">
        <v>3</v>
      </c>
      <c r="G24" s="19">
        <v>1</v>
      </c>
      <c r="H24" s="19">
        <v>14</v>
      </c>
    </row>
    <row r="25" spans="2:8" x14ac:dyDescent="0.25">
      <c r="B25" s="18" t="s">
        <v>16</v>
      </c>
      <c r="C25" s="19"/>
      <c r="D25" s="19">
        <v>5</v>
      </c>
      <c r="E25" s="19">
        <v>6</v>
      </c>
      <c r="F25" s="19">
        <v>3</v>
      </c>
      <c r="G25" s="19">
        <v>3</v>
      </c>
      <c r="H25" s="19">
        <v>17</v>
      </c>
    </row>
    <row r="26" spans="2:8" x14ac:dyDescent="0.25">
      <c r="B26" s="18" t="s">
        <v>33</v>
      </c>
      <c r="C26" s="19">
        <v>1</v>
      </c>
      <c r="D26" s="19">
        <v>3</v>
      </c>
      <c r="E26" s="19">
        <v>8</v>
      </c>
      <c r="F26" s="19">
        <v>3</v>
      </c>
      <c r="G26" s="19">
        <v>4</v>
      </c>
      <c r="H26" s="19">
        <v>19</v>
      </c>
    </row>
    <row r="27" spans="2:8" x14ac:dyDescent="0.25">
      <c r="B27" s="18" t="s">
        <v>38</v>
      </c>
      <c r="C27" s="19">
        <v>3</v>
      </c>
      <c r="D27" s="19">
        <v>3</v>
      </c>
      <c r="E27" s="19">
        <v>12</v>
      </c>
      <c r="F27" s="19">
        <v>6</v>
      </c>
      <c r="G27" s="19">
        <v>5</v>
      </c>
      <c r="H27" s="19">
        <v>29</v>
      </c>
    </row>
    <row r="28" spans="2:8" x14ac:dyDescent="0.25">
      <c r="B28" s="18" t="s">
        <v>25</v>
      </c>
      <c r="C28" s="19">
        <v>3</v>
      </c>
      <c r="D28" s="19">
        <v>3</v>
      </c>
      <c r="E28" s="19">
        <v>6</v>
      </c>
      <c r="F28" s="19">
        <v>1</v>
      </c>
      <c r="G28" s="19">
        <v>5</v>
      </c>
      <c r="H28" s="19">
        <v>18</v>
      </c>
    </row>
    <row r="29" spans="2:8" x14ac:dyDescent="0.25">
      <c r="B29" s="18" t="s">
        <v>239</v>
      </c>
      <c r="C29" s="19">
        <v>9</v>
      </c>
      <c r="D29" s="19">
        <v>15</v>
      </c>
      <c r="E29" s="19">
        <v>39</v>
      </c>
      <c r="F29" s="19">
        <v>16</v>
      </c>
      <c r="G29" s="19">
        <v>18</v>
      </c>
      <c r="H29" s="19">
        <v>97</v>
      </c>
    </row>
    <row r="39" spans="1:7" x14ac:dyDescent="0.25">
      <c r="A39" s="11" t="s">
        <v>241</v>
      </c>
      <c r="B39" s="11" t="s">
        <v>240</v>
      </c>
    </row>
    <row r="40" spans="1:7" x14ac:dyDescent="0.25">
      <c r="A40" s="17" t="s">
        <v>238</v>
      </c>
      <c r="B40" s="7" t="s">
        <v>11</v>
      </c>
      <c r="C40" s="7" t="s">
        <v>16</v>
      </c>
      <c r="D40" s="7" t="s">
        <v>33</v>
      </c>
      <c r="E40" s="7" t="s">
        <v>38</v>
      </c>
      <c r="F40" s="7" t="s">
        <v>25</v>
      </c>
      <c r="G40" s="7" t="s">
        <v>239</v>
      </c>
    </row>
    <row r="41" spans="1:7" x14ac:dyDescent="0.25">
      <c r="A41" s="18" t="s">
        <v>247</v>
      </c>
      <c r="B41" s="19">
        <v>7</v>
      </c>
      <c r="C41" s="19">
        <v>11</v>
      </c>
      <c r="D41" s="19">
        <v>8</v>
      </c>
      <c r="E41" s="19">
        <v>11</v>
      </c>
      <c r="F41" s="19">
        <v>5</v>
      </c>
      <c r="G41" s="19">
        <v>42</v>
      </c>
    </row>
    <row r="42" spans="1:7" x14ac:dyDescent="0.25">
      <c r="A42" s="20" t="s">
        <v>250</v>
      </c>
      <c r="B42" s="19">
        <v>2</v>
      </c>
      <c r="C42" s="19">
        <v>2</v>
      </c>
      <c r="D42" s="19">
        <v>3</v>
      </c>
      <c r="E42" s="19">
        <v>1</v>
      </c>
      <c r="F42" s="19">
        <v>2</v>
      </c>
      <c r="G42" s="19">
        <v>10</v>
      </c>
    </row>
    <row r="43" spans="1:7" x14ac:dyDescent="0.25">
      <c r="A43" s="20" t="s">
        <v>251</v>
      </c>
      <c r="B43" s="19">
        <v>4</v>
      </c>
      <c r="C43" s="19">
        <v>3</v>
      </c>
      <c r="D43" s="19">
        <v>1</v>
      </c>
      <c r="E43" s="19">
        <v>5</v>
      </c>
      <c r="F43" s="19"/>
      <c r="G43" s="19">
        <v>13</v>
      </c>
    </row>
    <row r="44" spans="1:7" x14ac:dyDescent="0.25">
      <c r="A44" s="20" t="s">
        <v>252</v>
      </c>
      <c r="B44" s="19"/>
      <c r="C44" s="19">
        <v>4</v>
      </c>
      <c r="D44" s="19">
        <v>2</v>
      </c>
      <c r="E44" s="19">
        <v>3</v>
      </c>
      <c r="F44" s="19">
        <v>2</v>
      </c>
      <c r="G44" s="19">
        <v>11</v>
      </c>
    </row>
    <row r="45" spans="1:7" x14ac:dyDescent="0.25">
      <c r="A45" s="20" t="s">
        <v>253</v>
      </c>
      <c r="B45" s="19">
        <v>1</v>
      </c>
      <c r="C45" s="19">
        <v>2</v>
      </c>
      <c r="D45" s="19">
        <v>2</v>
      </c>
      <c r="E45" s="19">
        <v>2</v>
      </c>
      <c r="F45" s="19">
        <v>1</v>
      </c>
      <c r="G45" s="19">
        <v>8</v>
      </c>
    </row>
    <row r="46" spans="1:7" x14ac:dyDescent="0.25">
      <c r="A46" s="18" t="s">
        <v>239</v>
      </c>
      <c r="B46" s="19">
        <v>7</v>
      </c>
      <c r="C46" s="19">
        <v>11</v>
      </c>
      <c r="D46" s="19">
        <v>8</v>
      </c>
      <c r="E46" s="19">
        <v>11</v>
      </c>
      <c r="F46" s="19">
        <v>5</v>
      </c>
      <c r="G46" s="19">
        <v>42</v>
      </c>
    </row>
    <row r="58" spans="1:7" x14ac:dyDescent="0.25">
      <c r="A58" s="11" t="s">
        <v>241</v>
      </c>
      <c r="B58" s="11" t="s">
        <v>240</v>
      </c>
    </row>
    <row r="59" spans="1:7" x14ac:dyDescent="0.25">
      <c r="A59" s="17" t="s">
        <v>238</v>
      </c>
      <c r="B59" s="7" t="s">
        <v>11</v>
      </c>
      <c r="C59" s="7" t="s">
        <v>16</v>
      </c>
      <c r="D59" s="7" t="s">
        <v>33</v>
      </c>
      <c r="E59" s="7" t="s">
        <v>38</v>
      </c>
      <c r="F59" s="7" t="s">
        <v>25</v>
      </c>
      <c r="G59" s="7" t="s">
        <v>239</v>
      </c>
    </row>
    <row r="60" spans="1:7" x14ac:dyDescent="0.25">
      <c r="A60" s="18" t="s">
        <v>248</v>
      </c>
      <c r="B60" s="19"/>
      <c r="C60" s="19"/>
      <c r="D60" s="19"/>
      <c r="E60" s="19"/>
      <c r="F60" s="19"/>
      <c r="G60" s="19"/>
    </row>
    <row r="61" spans="1:7" x14ac:dyDescent="0.25">
      <c r="A61" s="20" t="s">
        <v>250</v>
      </c>
      <c r="B61" s="19"/>
      <c r="C61" s="19">
        <v>1</v>
      </c>
      <c r="D61" s="19">
        <v>2</v>
      </c>
      <c r="E61" s="19">
        <v>3</v>
      </c>
      <c r="F61" s="19">
        <v>1</v>
      </c>
      <c r="G61" s="19">
        <v>7</v>
      </c>
    </row>
    <row r="62" spans="1:7" x14ac:dyDescent="0.25">
      <c r="A62" s="20" t="s">
        <v>251</v>
      </c>
      <c r="B62" s="19">
        <v>2</v>
      </c>
      <c r="C62" s="19"/>
      <c r="D62" s="19"/>
      <c r="E62" s="19">
        <v>3</v>
      </c>
      <c r="F62" s="19">
        <v>2</v>
      </c>
      <c r="G62" s="19">
        <v>7</v>
      </c>
    </row>
    <row r="63" spans="1:7" x14ac:dyDescent="0.25">
      <c r="A63" s="20" t="s">
        <v>252</v>
      </c>
      <c r="B63" s="19">
        <v>2</v>
      </c>
      <c r="C63" s="19"/>
      <c r="D63" s="19">
        <v>4</v>
      </c>
      <c r="E63" s="19">
        <v>4</v>
      </c>
      <c r="F63" s="19">
        <v>4</v>
      </c>
      <c r="G63" s="19">
        <v>14</v>
      </c>
    </row>
    <row r="64" spans="1:7" x14ac:dyDescent="0.25">
      <c r="A64" s="20" t="s">
        <v>253</v>
      </c>
      <c r="B64" s="19">
        <v>2</v>
      </c>
      <c r="C64" s="19">
        <v>2</v>
      </c>
      <c r="D64" s="19">
        <v>2</v>
      </c>
      <c r="E64" s="19">
        <v>3</v>
      </c>
      <c r="F64" s="19"/>
      <c r="G64" s="19">
        <v>9</v>
      </c>
    </row>
    <row r="65" spans="1:7" x14ac:dyDescent="0.25">
      <c r="A65" s="18" t="s">
        <v>239</v>
      </c>
      <c r="B65" s="19">
        <v>6</v>
      </c>
      <c r="C65" s="19">
        <v>3</v>
      </c>
      <c r="D65" s="19">
        <v>8</v>
      </c>
      <c r="E65" s="19">
        <v>13</v>
      </c>
      <c r="F65" s="19">
        <v>7</v>
      </c>
      <c r="G65" s="19">
        <v>37</v>
      </c>
    </row>
    <row r="75" spans="1:7" x14ac:dyDescent="0.25">
      <c r="A75" s="17" t="s">
        <v>241</v>
      </c>
      <c r="B75" s="17" t="s">
        <v>240</v>
      </c>
      <c r="C75" s="7"/>
      <c r="D75" s="7"/>
      <c r="E75" s="7"/>
      <c r="F75" s="7"/>
      <c r="G75" s="7"/>
    </row>
    <row r="76" spans="1:7" x14ac:dyDescent="0.25">
      <c r="A76" s="17" t="s">
        <v>238</v>
      </c>
      <c r="B76" s="7" t="s">
        <v>11</v>
      </c>
      <c r="C76" s="7" t="s">
        <v>16</v>
      </c>
      <c r="D76" s="7" t="s">
        <v>33</v>
      </c>
      <c r="E76" s="7" t="s">
        <v>38</v>
      </c>
      <c r="F76" s="7" t="s">
        <v>25</v>
      </c>
      <c r="G76" s="7" t="s">
        <v>239</v>
      </c>
    </row>
    <row r="77" spans="1:7" x14ac:dyDescent="0.25">
      <c r="A77" s="18" t="s">
        <v>249</v>
      </c>
      <c r="B77" s="19"/>
      <c r="C77" s="19"/>
      <c r="D77" s="19"/>
      <c r="E77" s="19"/>
      <c r="F77" s="19"/>
      <c r="G77" s="19"/>
    </row>
    <row r="78" spans="1:7" x14ac:dyDescent="0.25">
      <c r="A78" s="20" t="s">
        <v>250</v>
      </c>
      <c r="B78" s="19"/>
      <c r="C78" s="19">
        <v>1</v>
      </c>
      <c r="D78" s="19">
        <v>2</v>
      </c>
      <c r="E78" s="19">
        <v>1</v>
      </c>
      <c r="F78" s="19"/>
      <c r="G78" s="19">
        <v>4</v>
      </c>
    </row>
    <row r="79" spans="1:7" x14ac:dyDescent="0.25">
      <c r="A79" s="20" t="s">
        <v>251</v>
      </c>
      <c r="B79" s="19">
        <v>1</v>
      </c>
      <c r="C79" s="19"/>
      <c r="D79" s="19">
        <v>1</v>
      </c>
      <c r="E79" s="19">
        <v>2</v>
      </c>
      <c r="F79" s="19">
        <v>4</v>
      </c>
      <c r="G79" s="19">
        <v>8</v>
      </c>
    </row>
    <row r="80" spans="1:7" x14ac:dyDescent="0.25">
      <c r="A80" s="20" t="s">
        <v>252</v>
      </c>
      <c r="B80" s="19"/>
      <c r="C80" s="19">
        <v>2</v>
      </c>
      <c r="D80" s="19"/>
      <c r="E80" s="19"/>
      <c r="F80" s="19"/>
      <c r="G80" s="19">
        <v>2</v>
      </c>
    </row>
    <row r="81" spans="1:7" x14ac:dyDescent="0.25">
      <c r="A81" s="20" t="s">
        <v>253</v>
      </c>
      <c r="B81" s="19"/>
      <c r="C81" s="19"/>
      <c r="D81" s="19"/>
      <c r="E81" s="19">
        <v>2</v>
      </c>
      <c r="F81" s="19">
        <v>2</v>
      </c>
      <c r="G81" s="19">
        <v>4</v>
      </c>
    </row>
    <row r="82" spans="1:7" x14ac:dyDescent="0.25">
      <c r="A82" s="18" t="s">
        <v>239</v>
      </c>
      <c r="B82" s="19">
        <v>1</v>
      </c>
      <c r="C82" s="19">
        <v>3</v>
      </c>
      <c r="D82" s="19">
        <v>3</v>
      </c>
      <c r="E82" s="19">
        <v>5</v>
      </c>
      <c r="F82" s="19">
        <v>6</v>
      </c>
      <c r="G82" s="19">
        <v>18</v>
      </c>
    </row>
    <row r="94" spans="1:7" x14ac:dyDescent="0.25">
      <c r="A94" s="17" t="s">
        <v>243</v>
      </c>
      <c r="B94" s="17" t="s">
        <v>240</v>
      </c>
      <c r="C94" s="7"/>
      <c r="D94" s="7"/>
      <c r="E94" s="7"/>
      <c r="F94" s="7"/>
      <c r="G94" s="7"/>
    </row>
    <row r="95" spans="1:7" x14ac:dyDescent="0.25">
      <c r="A95" s="17" t="s">
        <v>238</v>
      </c>
      <c r="B95" s="7" t="s">
        <v>11</v>
      </c>
      <c r="C95" s="7" t="s">
        <v>16</v>
      </c>
      <c r="D95" s="7" t="s">
        <v>33</v>
      </c>
      <c r="E95" s="7" t="s">
        <v>38</v>
      </c>
      <c r="F95" s="7" t="s">
        <v>25</v>
      </c>
      <c r="G95" s="7" t="s">
        <v>239</v>
      </c>
    </row>
    <row r="96" spans="1:7" x14ac:dyDescent="0.25">
      <c r="A96" s="18" t="s">
        <v>60</v>
      </c>
      <c r="B96" s="8">
        <v>68721</v>
      </c>
      <c r="C96" s="8"/>
      <c r="D96" s="8">
        <v>70470</v>
      </c>
      <c r="E96" s="8">
        <v>65534.666666666664</v>
      </c>
      <c r="F96" s="8">
        <v>68276.666666666672</v>
      </c>
      <c r="G96" s="8">
        <v>67705.111111111109</v>
      </c>
    </row>
    <row r="97" spans="1:7" x14ac:dyDescent="0.25">
      <c r="A97" s="18" t="s">
        <v>17</v>
      </c>
      <c r="B97" s="8">
        <v>63184</v>
      </c>
      <c r="C97" s="8">
        <v>72590.2</v>
      </c>
      <c r="D97" s="8">
        <v>74846</v>
      </c>
      <c r="E97" s="8">
        <v>76015</v>
      </c>
      <c r="F97" s="8">
        <v>64224.666666666664</v>
      </c>
      <c r="G97" s="8">
        <v>71426.133333333331</v>
      </c>
    </row>
    <row r="98" spans="1:7" x14ac:dyDescent="0.25">
      <c r="A98" s="18" t="s">
        <v>12</v>
      </c>
      <c r="B98" s="8">
        <v>63813.428571428572</v>
      </c>
      <c r="C98" s="8">
        <v>74034</v>
      </c>
      <c r="D98" s="8">
        <v>61767.625</v>
      </c>
      <c r="E98" s="8">
        <v>70535.833333333328</v>
      </c>
      <c r="F98" s="8">
        <v>70575.5</v>
      </c>
      <c r="G98" s="8">
        <v>68074.923076923078</v>
      </c>
    </row>
    <row r="99" spans="1:7" x14ac:dyDescent="0.25">
      <c r="A99" s="18" t="s">
        <v>43</v>
      </c>
      <c r="B99" s="8">
        <v>68043</v>
      </c>
      <c r="C99" s="8">
        <v>63117.333333333336</v>
      </c>
      <c r="D99" s="8">
        <v>60563.666666666664</v>
      </c>
      <c r="E99" s="8">
        <v>67435.166666666672</v>
      </c>
      <c r="F99" s="8">
        <v>91620</v>
      </c>
      <c r="G99" s="8">
        <v>66962.6875</v>
      </c>
    </row>
    <row r="100" spans="1:7" x14ac:dyDescent="0.25">
      <c r="A100" s="18" t="s">
        <v>26</v>
      </c>
      <c r="B100" s="8">
        <v>72939</v>
      </c>
      <c r="C100" s="8">
        <v>47166.333333333336</v>
      </c>
      <c r="D100" s="8">
        <v>73723.5</v>
      </c>
      <c r="E100" s="8">
        <v>80316.2</v>
      </c>
      <c r="F100" s="8">
        <v>66436.800000000003</v>
      </c>
      <c r="G100" s="8">
        <v>69060.944444444438</v>
      </c>
    </row>
    <row r="101" spans="1:7" x14ac:dyDescent="0.25">
      <c r="A101" s="18" t="s">
        <v>239</v>
      </c>
      <c r="B101" s="8">
        <v>66027.71428571429</v>
      </c>
      <c r="C101" s="8">
        <v>66941.529411764699</v>
      </c>
      <c r="D101" s="8">
        <v>66617.578947368427</v>
      </c>
      <c r="E101" s="8">
        <v>71630.034482758623</v>
      </c>
      <c r="F101" s="8">
        <v>69153.388888888891</v>
      </c>
      <c r="G101" s="8">
        <v>68558.350515463913</v>
      </c>
    </row>
    <row r="108" spans="1:7" x14ac:dyDescent="0.25">
      <c r="A108" s="11" t="s">
        <v>241</v>
      </c>
      <c r="B108" s="11" t="s">
        <v>240</v>
      </c>
    </row>
    <row r="109" spans="1:7" x14ac:dyDescent="0.25">
      <c r="A109" s="11" t="s">
        <v>238</v>
      </c>
      <c r="B109">
        <v>1</v>
      </c>
      <c r="C109">
        <v>2</v>
      </c>
      <c r="D109">
        <v>3</v>
      </c>
      <c r="E109">
        <v>4</v>
      </c>
      <c r="F109">
        <v>5</v>
      </c>
      <c r="G109" t="s">
        <v>239</v>
      </c>
    </row>
    <row r="110" spans="1:7" x14ac:dyDescent="0.25">
      <c r="A110" s="12" t="s">
        <v>11</v>
      </c>
      <c r="B110" s="1">
        <v>5</v>
      </c>
      <c r="C110" s="1">
        <v>1</v>
      </c>
      <c r="D110" s="1">
        <v>3</v>
      </c>
      <c r="E110" s="1">
        <v>2</v>
      </c>
      <c r="F110" s="1">
        <v>3</v>
      </c>
      <c r="G110" s="1">
        <v>14</v>
      </c>
    </row>
    <row r="111" spans="1:7" x14ac:dyDescent="0.25">
      <c r="A111" s="12" t="s">
        <v>16</v>
      </c>
      <c r="B111" s="1">
        <v>3</v>
      </c>
      <c r="C111" s="1">
        <v>4</v>
      </c>
      <c r="D111" s="1">
        <v>8</v>
      </c>
      <c r="E111" s="1">
        <v>2</v>
      </c>
      <c r="F111" s="1"/>
      <c r="G111" s="1">
        <v>17</v>
      </c>
    </row>
    <row r="112" spans="1:7" x14ac:dyDescent="0.25">
      <c r="A112" s="12" t="s">
        <v>33</v>
      </c>
      <c r="B112" s="1">
        <v>4</v>
      </c>
      <c r="C112" s="1">
        <v>1</v>
      </c>
      <c r="D112" s="1">
        <v>10</v>
      </c>
      <c r="E112" s="1">
        <v>1</v>
      </c>
      <c r="F112" s="1">
        <v>3</v>
      </c>
      <c r="G112" s="1">
        <v>19</v>
      </c>
    </row>
    <row r="113" spans="1:7" x14ac:dyDescent="0.25">
      <c r="A113" s="12" t="s">
        <v>38</v>
      </c>
      <c r="B113" s="1">
        <v>5</v>
      </c>
      <c r="C113" s="1">
        <v>5</v>
      </c>
      <c r="D113" s="1">
        <v>8</v>
      </c>
      <c r="E113" s="1">
        <v>3</v>
      </c>
      <c r="F113" s="1">
        <v>8</v>
      </c>
      <c r="G113" s="1">
        <v>29</v>
      </c>
    </row>
    <row r="114" spans="1:7" x14ac:dyDescent="0.25">
      <c r="A114" s="12" t="s">
        <v>25</v>
      </c>
      <c r="B114" s="1">
        <v>6</v>
      </c>
      <c r="C114" s="1">
        <v>4</v>
      </c>
      <c r="D114" s="1">
        <v>7</v>
      </c>
      <c r="E114" s="1"/>
      <c r="F114" s="1">
        <v>1</v>
      </c>
      <c r="G114" s="1">
        <v>18</v>
      </c>
    </row>
    <row r="115" spans="1:7" x14ac:dyDescent="0.25">
      <c r="A115" s="12" t="s">
        <v>239</v>
      </c>
      <c r="B115" s="1">
        <v>23</v>
      </c>
      <c r="C115" s="1">
        <v>15</v>
      </c>
      <c r="D115" s="1">
        <v>36</v>
      </c>
      <c r="E115" s="1">
        <v>8</v>
      </c>
      <c r="F115" s="1">
        <v>15</v>
      </c>
      <c r="G115" s="1">
        <v>97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77CA7-4E21-4DE2-9BDF-E2EC36CDF009}">
  <dimension ref="G2:V16"/>
  <sheetViews>
    <sheetView showGridLines="0" tabSelected="1" topLeftCell="G13" workbookViewId="0">
      <selection activeCell="O66" sqref="O66"/>
    </sheetView>
  </sheetViews>
  <sheetFormatPr defaultRowHeight="15" x14ac:dyDescent="0.25"/>
  <sheetData>
    <row r="2" spans="7:22" ht="36" x14ac:dyDescent="0.55000000000000004">
      <c r="G2" s="16"/>
      <c r="H2" s="15"/>
      <c r="I2" s="15"/>
      <c r="J2" s="15"/>
    </row>
    <row r="5" spans="7:22" x14ac:dyDescent="0.25">
      <c r="J5" s="15"/>
    </row>
    <row r="16" spans="7:22" x14ac:dyDescent="0.25">
      <c r="V16"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3624-7A2B-46B5-83F6-690331DEEE69}">
  <dimension ref="A1:B15"/>
  <sheetViews>
    <sheetView workbookViewId="0">
      <selection activeCell="H10" sqref="H10"/>
    </sheetView>
  </sheetViews>
  <sheetFormatPr defaultRowHeight="15" x14ac:dyDescent="0.25"/>
  <cols>
    <col min="1" max="1" width="16" customWidth="1"/>
    <col min="2" max="2" width="15.28515625" customWidth="1"/>
  </cols>
  <sheetData>
    <row r="1" spans="1:2" x14ac:dyDescent="0.25">
      <c r="A1" s="22" t="s">
        <v>273</v>
      </c>
      <c r="B1" s="22"/>
    </row>
    <row r="2" spans="1:2" x14ac:dyDescent="0.25">
      <c r="A2" s="21"/>
      <c r="B2" s="21"/>
    </row>
    <row r="3" spans="1:2" x14ac:dyDescent="0.25">
      <c r="A3" s="23" t="s">
        <v>260</v>
      </c>
      <c r="B3" s="23">
        <v>74622.380102040785</v>
      </c>
    </row>
    <row r="4" spans="1:2" x14ac:dyDescent="0.25">
      <c r="A4" s="23" t="s">
        <v>261</v>
      </c>
      <c r="B4" s="23">
        <v>2425.6622305222227</v>
      </c>
    </row>
    <row r="5" spans="1:2" x14ac:dyDescent="0.25">
      <c r="A5" s="23" t="s">
        <v>262</v>
      </c>
      <c r="B5" s="23">
        <v>76659</v>
      </c>
    </row>
    <row r="6" spans="1:2" x14ac:dyDescent="0.25">
      <c r="A6" s="23" t="s">
        <v>263</v>
      </c>
      <c r="B6" s="23">
        <v>69594</v>
      </c>
    </row>
    <row r="7" spans="1:2" x14ac:dyDescent="0.25">
      <c r="A7" s="23" t="s">
        <v>264</v>
      </c>
      <c r="B7" s="23">
        <v>24012.830968984901</v>
      </c>
    </row>
    <row r="8" spans="1:2" x14ac:dyDescent="0.25">
      <c r="A8" s="23" t="s">
        <v>265</v>
      </c>
      <c r="B8" s="23">
        <v>576616051.14504027</v>
      </c>
    </row>
    <row r="9" spans="1:2" x14ac:dyDescent="0.25">
      <c r="A9" s="23" t="s">
        <v>266</v>
      </c>
      <c r="B9" s="23">
        <v>-1.0902958425359186</v>
      </c>
    </row>
    <row r="10" spans="1:2" x14ac:dyDescent="0.25">
      <c r="A10" s="23" t="s">
        <v>267</v>
      </c>
      <c r="B10" s="23">
        <v>-0.10072794820548564</v>
      </c>
    </row>
    <row r="11" spans="1:2" x14ac:dyDescent="0.25">
      <c r="A11" s="23" t="s">
        <v>268</v>
      </c>
      <c r="B11" s="23">
        <v>87768</v>
      </c>
    </row>
    <row r="12" spans="1:2" x14ac:dyDescent="0.25">
      <c r="A12" s="23" t="s">
        <v>269</v>
      </c>
      <c r="B12" s="23">
        <v>30402</v>
      </c>
    </row>
    <row r="13" spans="1:2" x14ac:dyDescent="0.25">
      <c r="A13" s="23" t="s">
        <v>270</v>
      </c>
      <c r="B13" s="23">
        <v>118170</v>
      </c>
    </row>
    <row r="14" spans="1:2" x14ac:dyDescent="0.25">
      <c r="A14" s="23" t="s">
        <v>271</v>
      </c>
      <c r="B14" s="23">
        <v>7312993.2499999972</v>
      </c>
    </row>
    <row r="15" spans="1:2" x14ac:dyDescent="0.25">
      <c r="A15" s="23" t="s">
        <v>272</v>
      </c>
      <c r="B15" s="23">
        <v>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4A419-BAFB-4F9D-80DB-99C13E0AFD87}">
  <dimension ref="A1:V100"/>
  <sheetViews>
    <sheetView topLeftCell="E1" workbookViewId="0">
      <selection activeCell="P1" sqref="P1"/>
    </sheetView>
  </sheetViews>
  <sheetFormatPr defaultRowHeight="15" x14ac:dyDescent="0.25"/>
  <cols>
    <col min="1" max="1" width="14.42578125" bestFit="1" customWidth="1"/>
    <col min="2" max="2" width="12.140625" bestFit="1" customWidth="1"/>
    <col min="3" max="3" width="14" bestFit="1" customWidth="1"/>
    <col min="4" max="4" width="10.28515625" bestFit="1" customWidth="1"/>
    <col min="5" max="5" width="8.5703125" style="4" bestFit="1" customWidth="1"/>
    <col min="6" max="6" width="16.5703125" bestFit="1" customWidth="1"/>
    <col min="7" max="7" width="21" bestFit="1" customWidth="1"/>
    <col min="8" max="8" width="10" bestFit="1" customWidth="1"/>
    <col min="9" max="9" width="22.140625" bestFit="1" customWidth="1"/>
    <col min="10" max="10" width="19.5703125" bestFit="1" customWidth="1"/>
    <col min="11" max="11" width="13.28515625" bestFit="1" customWidth="1"/>
    <col min="12" max="12" width="13.85546875" bestFit="1" customWidth="1"/>
    <col min="13" max="13" width="14.42578125" bestFit="1" customWidth="1"/>
    <col min="14" max="14" width="17" bestFit="1" customWidth="1"/>
    <col min="15" max="15" width="9.5703125" bestFit="1" customWidth="1"/>
    <col min="16" max="16" width="15.5703125" bestFit="1" customWidth="1"/>
    <col min="18" max="18" width="15.5703125" bestFit="1" customWidth="1"/>
    <col min="22" max="22" width="12.5703125" customWidth="1"/>
  </cols>
  <sheetData>
    <row r="1" spans="1:22" s="5" customFormat="1" x14ac:dyDescent="0.25">
      <c r="A1" s="5" t="s">
        <v>0</v>
      </c>
      <c r="B1" s="5" t="s">
        <v>1</v>
      </c>
      <c r="C1" s="5" t="s">
        <v>2</v>
      </c>
      <c r="D1" s="5" t="s">
        <v>3</v>
      </c>
      <c r="E1" s="6" t="s">
        <v>4</v>
      </c>
      <c r="F1" s="5" t="s">
        <v>5</v>
      </c>
      <c r="G1" s="5" t="s">
        <v>6</v>
      </c>
      <c r="H1" s="5" t="s">
        <v>7</v>
      </c>
      <c r="I1" s="5" t="s">
        <v>8</v>
      </c>
      <c r="J1" t="s">
        <v>259</v>
      </c>
      <c r="K1" s="5" t="s">
        <v>233</v>
      </c>
      <c r="L1" s="5" t="s">
        <v>234</v>
      </c>
      <c r="M1" s="5" t="s">
        <v>236</v>
      </c>
      <c r="N1" s="5" t="s">
        <v>237</v>
      </c>
      <c r="O1" s="5" t="s">
        <v>245</v>
      </c>
      <c r="P1" s="5" t="s">
        <v>246</v>
      </c>
    </row>
    <row r="2" spans="1:22" x14ac:dyDescent="0.25">
      <c r="A2" s="1" t="s">
        <v>122</v>
      </c>
      <c r="B2" s="1" t="s">
        <v>15</v>
      </c>
      <c r="C2" s="1" t="s">
        <v>38</v>
      </c>
      <c r="D2" s="1" t="s">
        <v>12</v>
      </c>
      <c r="E2" s="4">
        <v>30280</v>
      </c>
      <c r="F2" s="2">
        <v>42372</v>
      </c>
      <c r="G2">
        <v>1</v>
      </c>
      <c r="H2" s="1" t="s">
        <v>10</v>
      </c>
      <c r="I2" s="1" t="s">
        <v>123</v>
      </c>
      <c r="J2" t="s">
        <v>255</v>
      </c>
      <c r="K2" s="1">
        <f>IF(G2=5,E2*20%,IF(G2=4,E2*15%,IF(G2=3,E2*10%,IF(G2=2,E2*5%,))))</f>
        <v>0</v>
      </c>
      <c r="L2" s="4">
        <f>E2+K2</f>
        <v>30280</v>
      </c>
      <c r="M2" s="1">
        <f>YEAR(Sheet1[[#This Row],[Date of Joining]])</f>
        <v>2016</v>
      </c>
      <c r="N2" s="1">
        <f>MONTH(Sheet1[[#This Row],[Date of Joining]])</f>
        <v>1</v>
      </c>
      <c r="O2" s="1">
        <f ca="1">DATEDIF(F2,TODAY(),"Y")</f>
        <v>10</v>
      </c>
      <c r="P2" s="14">
        <f ca="1">NOW()</f>
        <v>46155.728605324075</v>
      </c>
    </row>
    <row r="3" spans="1:22" x14ac:dyDescent="0.25">
      <c r="A3" s="1" t="s">
        <v>214</v>
      </c>
      <c r="B3" s="1" t="s">
        <v>37</v>
      </c>
      <c r="C3" s="1" t="s">
        <v>25</v>
      </c>
      <c r="D3" s="1" t="s">
        <v>26</v>
      </c>
      <c r="E3" s="4">
        <v>30402</v>
      </c>
      <c r="F3" s="2">
        <v>42904</v>
      </c>
      <c r="G3">
        <v>1</v>
      </c>
      <c r="H3" s="1" t="s">
        <v>10</v>
      </c>
      <c r="I3" s="1" t="s">
        <v>215</v>
      </c>
      <c r="J3" t="s">
        <v>255</v>
      </c>
      <c r="K3" s="1">
        <f>IF(G3=5,E3*20%,IF(G3=4,E3*15%,IF(G3=3,E3*10%,IF(G3=2,E3*5%,))))</f>
        <v>0</v>
      </c>
      <c r="L3" s="4">
        <f>E3+K3</f>
        <v>30402</v>
      </c>
      <c r="M3" s="1">
        <f>YEAR(Sheet1[[#This Row],[Date of Joining]])</f>
        <v>2017</v>
      </c>
      <c r="N3" s="1">
        <f>MONTH(Sheet1[[#This Row],[Date of Joining]])</f>
        <v>6</v>
      </c>
      <c r="O3" s="1">
        <f ca="1">DATEDIF(F3,TODAY(),"Y")</f>
        <v>8</v>
      </c>
      <c r="P3" s="14">
        <f ca="1">NOW()</f>
        <v>46155.728605324075</v>
      </c>
    </row>
    <row r="4" spans="1:22" x14ac:dyDescent="0.25">
      <c r="A4" s="1" t="s">
        <v>118</v>
      </c>
      <c r="B4" s="1" t="s">
        <v>37</v>
      </c>
      <c r="C4" s="1" t="s">
        <v>38</v>
      </c>
      <c r="D4" s="1" t="s">
        <v>12</v>
      </c>
      <c r="E4" s="4">
        <v>30686</v>
      </c>
      <c r="F4" s="2">
        <v>42589</v>
      </c>
      <c r="G4">
        <v>2</v>
      </c>
      <c r="H4" s="1" t="s">
        <v>34</v>
      </c>
      <c r="I4" s="1" t="s">
        <v>119</v>
      </c>
      <c r="J4" t="s">
        <v>254</v>
      </c>
      <c r="K4" s="1">
        <f>IF(G4=5,E4*20%,IF(G4=4,E4*15%,IF(G4=3,E4*10%,IF(G4=2,E4*5%,))))</f>
        <v>1534.3000000000002</v>
      </c>
      <c r="L4" s="4">
        <f>E4+K4</f>
        <v>32220.3</v>
      </c>
      <c r="M4" s="1">
        <f>YEAR(Sheet1[[#This Row],[Date of Joining]])</f>
        <v>2016</v>
      </c>
      <c r="N4" s="1">
        <f>MONTH(Sheet1[[#This Row],[Date of Joining]])</f>
        <v>8</v>
      </c>
      <c r="O4" s="1">
        <f ca="1">DATEDIF(F4,TODAY(),"Y")</f>
        <v>9</v>
      </c>
      <c r="P4" s="14">
        <f ca="1">NOW()</f>
        <v>46155.728605324075</v>
      </c>
    </row>
    <row r="5" spans="1:22" x14ac:dyDescent="0.25">
      <c r="A5" s="1" t="s">
        <v>194</v>
      </c>
      <c r="B5" s="1" t="s">
        <v>37</v>
      </c>
      <c r="C5" s="1" t="s">
        <v>25</v>
      </c>
      <c r="D5" s="1" t="s">
        <v>12</v>
      </c>
      <c r="E5" s="4">
        <v>31293</v>
      </c>
      <c r="F5" s="2">
        <v>42589</v>
      </c>
      <c r="G5">
        <v>2</v>
      </c>
      <c r="H5" s="1" t="s">
        <v>34</v>
      </c>
      <c r="I5" s="1" t="s">
        <v>195</v>
      </c>
      <c r="J5" t="s">
        <v>254</v>
      </c>
      <c r="K5" s="1">
        <f>IF(G5=5,E5*20%,IF(G5=4,E5*15%,IF(G5=3,E5*10%,IF(G5=2,E5*5%,))))</f>
        <v>1564.65</v>
      </c>
      <c r="L5" s="4">
        <f>E5+K5</f>
        <v>32857.65</v>
      </c>
      <c r="M5" s="1">
        <f>YEAR(Sheet1[[#This Row],[Date of Joining]])</f>
        <v>2016</v>
      </c>
      <c r="N5" s="1">
        <f>MONTH(Sheet1[[#This Row],[Date of Joining]])</f>
        <v>8</v>
      </c>
      <c r="O5" s="1">
        <f ca="1">DATEDIF(F5,TODAY(),"Y")</f>
        <v>9</v>
      </c>
      <c r="P5" s="14">
        <f ca="1">NOW()</f>
        <v>46155.728605324075</v>
      </c>
    </row>
    <row r="6" spans="1:22" x14ac:dyDescent="0.25">
      <c r="A6" s="1" t="s">
        <v>172</v>
      </c>
      <c r="B6" s="1" t="s">
        <v>57</v>
      </c>
      <c r="C6" s="1" t="s">
        <v>33</v>
      </c>
      <c r="D6" s="1" t="s">
        <v>12</v>
      </c>
      <c r="E6" s="4">
        <v>33264</v>
      </c>
      <c r="F6" s="2">
        <v>42666</v>
      </c>
      <c r="G6">
        <v>3</v>
      </c>
      <c r="H6" s="1" t="s">
        <v>34</v>
      </c>
      <c r="I6" s="1" t="s">
        <v>173</v>
      </c>
      <c r="J6" t="s">
        <v>256</v>
      </c>
      <c r="K6" s="1">
        <f>IF(G6=5,E6*20%,IF(G6=4,E6*15%,IF(G6=3,E6*10%,IF(G6=2,E6*5%,))))</f>
        <v>3326.4</v>
      </c>
      <c r="L6" s="4">
        <f>E6+K6</f>
        <v>36590.400000000001</v>
      </c>
      <c r="M6" s="1">
        <f>YEAR(Sheet1[[#This Row],[Date of Joining]])</f>
        <v>2016</v>
      </c>
      <c r="N6" s="1">
        <f>MONTH(Sheet1[[#This Row],[Date of Joining]])</f>
        <v>10</v>
      </c>
      <c r="O6" s="1">
        <f ca="1">DATEDIF(F6,TODAY(),"Y")</f>
        <v>9</v>
      </c>
      <c r="P6" s="14">
        <f ca="1">NOW()</f>
        <v>46155.728605324075</v>
      </c>
    </row>
    <row r="7" spans="1:22" x14ac:dyDescent="0.25">
      <c r="A7" s="1" t="s">
        <v>36</v>
      </c>
      <c r="B7" s="1" t="s">
        <v>37</v>
      </c>
      <c r="C7" s="1" t="s">
        <v>38</v>
      </c>
      <c r="D7" s="1" t="s">
        <v>12</v>
      </c>
      <c r="E7" s="4">
        <v>35364</v>
      </c>
      <c r="F7" s="2">
        <v>42057</v>
      </c>
      <c r="G7">
        <v>2</v>
      </c>
      <c r="H7" s="1" t="s">
        <v>18</v>
      </c>
      <c r="I7" s="1" t="s">
        <v>39</v>
      </c>
      <c r="J7" t="s">
        <v>254</v>
      </c>
      <c r="K7" s="1">
        <f>IF(G7=5,E7*20%,IF(G7=4,E7*15%,IF(G7=3,E7*10%,IF(G7=2,E7*5%,))))</f>
        <v>1768.2</v>
      </c>
      <c r="L7" s="4">
        <f>E7+K7</f>
        <v>37132.199999999997</v>
      </c>
      <c r="M7" s="1">
        <f>YEAR(Sheet1[[#This Row],[Date of Joining]])</f>
        <v>2015</v>
      </c>
      <c r="N7" s="1">
        <f>MONTH(Sheet1[[#This Row],[Date of Joining]])</f>
        <v>2</v>
      </c>
      <c r="O7" s="1">
        <f ca="1">DATEDIF(F7,TODAY(),"Y")</f>
        <v>11</v>
      </c>
      <c r="P7" s="14">
        <f ca="1">NOW()</f>
        <v>46155.728605324075</v>
      </c>
      <c r="T7" s="7" t="s">
        <v>228</v>
      </c>
      <c r="U7" s="7"/>
      <c r="V7" s="7"/>
    </row>
    <row r="8" spans="1:22" x14ac:dyDescent="0.25">
      <c r="A8" s="1" t="s">
        <v>106</v>
      </c>
      <c r="B8" s="1" t="s">
        <v>21</v>
      </c>
      <c r="C8" s="1" t="s">
        <v>33</v>
      </c>
      <c r="D8" s="1" t="s">
        <v>17</v>
      </c>
      <c r="E8" s="4">
        <v>33956</v>
      </c>
      <c r="F8" s="2">
        <v>42295</v>
      </c>
      <c r="G8">
        <v>3</v>
      </c>
      <c r="H8" s="1" t="s">
        <v>10</v>
      </c>
      <c r="I8" s="1" t="s">
        <v>107</v>
      </c>
      <c r="J8" t="s">
        <v>256</v>
      </c>
      <c r="K8" s="1">
        <f>IF(G8=5,E8*20%,IF(G8=4,E8*15%,IF(G8=3,E8*10%,IF(G8=2,E8*5%,))))</f>
        <v>3395.6000000000004</v>
      </c>
      <c r="L8" s="4">
        <f>E8+K8</f>
        <v>37351.599999999999</v>
      </c>
      <c r="M8" s="1">
        <f>YEAR(Sheet1[[#This Row],[Date of Joining]])</f>
        <v>2015</v>
      </c>
      <c r="N8" s="1">
        <f>MONTH(Sheet1[[#This Row],[Date of Joining]])</f>
        <v>10</v>
      </c>
      <c r="O8" s="1">
        <f ca="1">DATEDIF(F8,TODAY(),"Y")</f>
        <v>10</v>
      </c>
      <c r="P8" s="14">
        <f ca="1">NOW()</f>
        <v>46155.728605324075</v>
      </c>
      <c r="T8" s="7" t="s">
        <v>229</v>
      </c>
      <c r="U8" s="7"/>
      <c r="V8" s="9">
        <f>AVERAGE(L:L)</f>
        <v>74174.47727272725</v>
      </c>
    </row>
    <row r="9" spans="1:22" x14ac:dyDescent="0.25">
      <c r="A9" s="1" t="s">
        <v>136</v>
      </c>
      <c r="B9" s="1" t="s">
        <v>15</v>
      </c>
      <c r="C9" s="1" t="s">
        <v>16</v>
      </c>
      <c r="D9" s="1" t="s">
        <v>26</v>
      </c>
      <c r="E9" s="4">
        <v>36541</v>
      </c>
      <c r="F9" s="2">
        <v>42449</v>
      </c>
      <c r="G9">
        <v>2</v>
      </c>
      <c r="H9" s="1" t="s">
        <v>18</v>
      </c>
      <c r="I9" s="1" t="s">
        <v>137</v>
      </c>
      <c r="J9" t="s">
        <v>254</v>
      </c>
      <c r="K9" s="1">
        <f>IF(G9=5,E9*20%,IF(G9=4,E9*15%,IF(G9=3,E9*10%,IF(G9=2,E9*5%,))))</f>
        <v>1827.0500000000002</v>
      </c>
      <c r="L9" s="4">
        <f>E9+K9</f>
        <v>38368.050000000003</v>
      </c>
      <c r="M9" s="1">
        <f>YEAR(Sheet1[[#This Row],[Date of Joining]])</f>
        <v>2016</v>
      </c>
      <c r="N9" s="1">
        <f>MONTH(Sheet1[[#This Row],[Date of Joining]])</f>
        <v>3</v>
      </c>
      <c r="O9" s="1">
        <f ca="1">DATEDIF(F9,TODAY(),"Y")</f>
        <v>10</v>
      </c>
      <c r="P9" s="14">
        <f ca="1">NOW()</f>
        <v>46155.728605324075</v>
      </c>
      <c r="T9" s="7" t="s">
        <v>274</v>
      </c>
      <c r="U9" s="7"/>
      <c r="V9" s="10">
        <v>5</v>
      </c>
    </row>
    <row r="10" spans="1:22" x14ac:dyDescent="0.25">
      <c r="A10" s="1" t="s">
        <v>140</v>
      </c>
      <c r="B10" s="1" t="s">
        <v>46</v>
      </c>
      <c r="C10" s="1" t="s">
        <v>11</v>
      </c>
      <c r="D10" s="1" t="s">
        <v>12</v>
      </c>
      <c r="E10" s="4">
        <v>33468</v>
      </c>
      <c r="F10" s="2">
        <v>42463</v>
      </c>
      <c r="G10">
        <v>4</v>
      </c>
      <c r="H10" s="1" t="s">
        <v>27</v>
      </c>
      <c r="I10" s="1" t="s">
        <v>141</v>
      </c>
      <c r="J10" t="s">
        <v>258</v>
      </c>
      <c r="K10" s="1">
        <f>IF(G10=5,E10*20%,IF(G10=4,E10*15%,IF(G10=3,E10*10%,IF(G10=2,E10*5%,))))</f>
        <v>5020.2</v>
      </c>
      <c r="L10" s="4">
        <f>E10+K10</f>
        <v>38488.199999999997</v>
      </c>
      <c r="M10" s="1">
        <f>YEAR(Sheet1[[#This Row],[Date of Joining]])</f>
        <v>2016</v>
      </c>
      <c r="N10" s="1">
        <f>MONTH(Sheet1[[#This Row],[Date of Joining]])</f>
        <v>4</v>
      </c>
      <c r="O10" s="1">
        <f ca="1">DATEDIF(F10,TODAY(),"Y")</f>
        <v>10</v>
      </c>
      <c r="P10" s="14">
        <f ca="1">NOW()</f>
        <v>46155.728605324075</v>
      </c>
      <c r="T10" s="7" t="s">
        <v>230</v>
      </c>
      <c r="U10" s="7"/>
      <c r="V10" s="10">
        <v>36</v>
      </c>
    </row>
    <row r="11" spans="1:22" x14ac:dyDescent="0.25">
      <c r="A11" s="1" t="s">
        <v>166</v>
      </c>
      <c r="B11" s="1" t="s">
        <v>37</v>
      </c>
      <c r="C11" s="1" t="s">
        <v>33</v>
      </c>
      <c r="D11" s="1" t="s">
        <v>12</v>
      </c>
      <c r="E11" s="4">
        <v>33483</v>
      </c>
      <c r="F11" s="2">
        <v>42610</v>
      </c>
      <c r="G11">
        <v>4</v>
      </c>
      <c r="H11" s="1" t="s">
        <v>27</v>
      </c>
      <c r="I11" s="1" t="s">
        <v>167</v>
      </c>
      <c r="J11" t="s">
        <v>258</v>
      </c>
      <c r="K11" s="1">
        <f>IF(G11=5,E11*20%,IF(G11=4,E11*15%,IF(G11=3,E11*10%,IF(G11=2,E11*5%,))))</f>
        <v>5022.45</v>
      </c>
      <c r="L11" s="4">
        <f>E11+K11</f>
        <v>38505.449999999997</v>
      </c>
      <c r="M11" s="1">
        <f>YEAR(Sheet1[[#This Row],[Date of Joining]])</f>
        <v>2016</v>
      </c>
      <c r="N11" s="1">
        <f>MONTH(Sheet1[[#This Row],[Date of Joining]])</f>
        <v>8</v>
      </c>
      <c r="O11" s="1">
        <f ca="1">DATEDIF(F11,TODAY(),"Y")</f>
        <v>9</v>
      </c>
      <c r="P11" s="14">
        <f ca="1">NOW()</f>
        <v>46155.728605324075</v>
      </c>
      <c r="T11" s="7" t="s">
        <v>231</v>
      </c>
      <c r="U11" s="7"/>
      <c r="V11" s="9">
        <f>MAX(L:L)</f>
        <v>118170</v>
      </c>
    </row>
    <row r="12" spans="1:22" x14ac:dyDescent="0.25">
      <c r="A12" s="1" t="s">
        <v>110</v>
      </c>
      <c r="B12" s="1" t="s">
        <v>21</v>
      </c>
      <c r="C12" s="1" t="s">
        <v>38</v>
      </c>
      <c r="D12" s="1" t="s">
        <v>60</v>
      </c>
      <c r="E12" s="4">
        <v>35326</v>
      </c>
      <c r="F12" s="2">
        <v>42309</v>
      </c>
      <c r="G12">
        <v>3</v>
      </c>
      <c r="H12" s="1" t="s">
        <v>34</v>
      </c>
      <c r="I12" s="1" t="s">
        <v>111</v>
      </c>
      <c r="J12" t="s">
        <v>256</v>
      </c>
      <c r="K12" s="1">
        <f>IF(G12=5,E12*20%,IF(G12=4,E12*15%,IF(G12=3,E12*10%,IF(G12=2,E12*5%,))))</f>
        <v>3532.6000000000004</v>
      </c>
      <c r="L12" s="4">
        <f>E12+K12</f>
        <v>38858.6</v>
      </c>
      <c r="M12" s="1">
        <f>YEAR(Sheet1[[#This Row],[Date of Joining]])</f>
        <v>2015</v>
      </c>
      <c r="N12" s="1">
        <f>MONTH(Sheet1[[#This Row],[Date of Joining]])</f>
        <v>11</v>
      </c>
      <c r="O12" s="1">
        <f ca="1">DATEDIF(F12,TODAY(),"Y")</f>
        <v>10</v>
      </c>
      <c r="P12" s="14">
        <f ca="1">NOW()</f>
        <v>46155.728605324075</v>
      </c>
      <c r="T12" s="7" t="s">
        <v>232</v>
      </c>
      <c r="U12" s="7"/>
      <c r="V12" s="9">
        <f>MIN(L:L)</f>
        <v>30280</v>
      </c>
    </row>
    <row r="13" spans="1:22" x14ac:dyDescent="0.25">
      <c r="A13" s="1" t="s">
        <v>72</v>
      </c>
      <c r="B13" s="1" t="s">
        <v>21</v>
      </c>
      <c r="C13" s="1" t="s">
        <v>38</v>
      </c>
      <c r="D13" s="1" t="s">
        <v>43</v>
      </c>
      <c r="E13" s="4">
        <v>36515</v>
      </c>
      <c r="F13" s="2">
        <v>42169</v>
      </c>
      <c r="G13">
        <v>3</v>
      </c>
      <c r="H13" s="1" t="s">
        <v>27</v>
      </c>
      <c r="I13" s="1" t="s">
        <v>73</v>
      </c>
      <c r="J13" t="s">
        <v>256</v>
      </c>
      <c r="K13" s="1">
        <f>IF(G13=5,E13*20%,IF(G13=4,E13*15%,IF(G13=3,E13*10%,IF(G13=2,E13*5%,))))</f>
        <v>3651.5</v>
      </c>
      <c r="L13" s="4">
        <f>E13+K13</f>
        <v>40166.5</v>
      </c>
      <c r="M13" s="1">
        <f>YEAR(Sheet1[[#This Row],[Date of Joining]])</f>
        <v>2015</v>
      </c>
      <c r="N13" s="1">
        <f>MONTH(Sheet1[[#This Row],[Date of Joining]])</f>
        <v>6</v>
      </c>
      <c r="O13" s="1">
        <f ca="1">DATEDIF(F13,TODAY(),"Y")</f>
        <v>10</v>
      </c>
      <c r="P13" s="14">
        <f ca="1">NOW()</f>
        <v>46155.728605324075</v>
      </c>
      <c r="T13" s="13" t="s">
        <v>235</v>
      </c>
      <c r="U13" s="7"/>
      <c r="V13" s="9">
        <f>COUNT(L:L)</f>
        <v>99</v>
      </c>
    </row>
    <row r="14" spans="1:22" x14ac:dyDescent="0.25">
      <c r="A14" s="1" t="s">
        <v>59</v>
      </c>
      <c r="B14" s="1" t="s">
        <v>30</v>
      </c>
      <c r="C14" s="1" t="s">
        <v>11</v>
      </c>
      <c r="D14" s="1" t="s">
        <v>60</v>
      </c>
      <c r="E14" s="4">
        <v>41341</v>
      </c>
      <c r="F14" s="2">
        <v>42127</v>
      </c>
      <c r="G14">
        <v>1</v>
      </c>
      <c r="H14" s="1" t="s">
        <v>18</v>
      </c>
      <c r="I14" s="1" t="s">
        <v>61</v>
      </c>
      <c r="J14" t="s">
        <v>255</v>
      </c>
      <c r="K14" s="1">
        <f>IF(G14=5,E14*20%,IF(G14=4,E14*15%,IF(G14=3,E14*10%,IF(G14=2,E14*5%,))))</f>
        <v>0</v>
      </c>
      <c r="L14" s="4">
        <f>E14+K14</f>
        <v>41341</v>
      </c>
      <c r="M14" s="1">
        <f>YEAR(Sheet1[[#This Row],[Date of Joining]])</f>
        <v>2015</v>
      </c>
      <c r="N14" s="1">
        <f>MONTH(Sheet1[[#This Row],[Date of Joining]])</f>
        <v>5</v>
      </c>
      <c r="O14" s="1">
        <f ca="1">DATEDIF(F14,TODAY(),"Y")</f>
        <v>11</v>
      </c>
      <c r="P14" s="14">
        <f ca="1">NOW()</f>
        <v>46155.728605324075</v>
      </c>
    </row>
    <row r="15" spans="1:22" x14ac:dyDescent="0.25">
      <c r="A15" s="1" t="s">
        <v>164</v>
      </c>
      <c r="B15" s="1" t="s">
        <v>37</v>
      </c>
      <c r="C15" s="1" t="s">
        <v>11</v>
      </c>
      <c r="D15" s="1" t="s">
        <v>12</v>
      </c>
      <c r="E15" s="4">
        <v>35163</v>
      </c>
      <c r="F15" s="2">
        <v>42603</v>
      </c>
      <c r="G15">
        <v>5</v>
      </c>
      <c r="H15" s="1" t="s">
        <v>18</v>
      </c>
      <c r="I15" s="1" t="s">
        <v>165</v>
      </c>
      <c r="J15" t="s">
        <v>257</v>
      </c>
      <c r="K15" s="1">
        <f>IF(G15=5,E15*20%,IF(G15=4,E15*15%,IF(G15=3,E15*10%,IF(G15=2,E15*5%,))))</f>
        <v>7032.6</v>
      </c>
      <c r="L15" s="4">
        <f>E15+K15</f>
        <v>42195.6</v>
      </c>
      <c r="M15" s="1">
        <f>YEAR(Sheet1[[#This Row],[Date of Joining]])</f>
        <v>2016</v>
      </c>
      <c r="N15" s="1">
        <f>MONTH(Sheet1[[#This Row],[Date of Joining]])</f>
        <v>8</v>
      </c>
      <c r="O15" s="1">
        <f ca="1">DATEDIF(F15,TODAY(),"Y")</f>
        <v>9</v>
      </c>
      <c r="P15" s="14">
        <f ca="1">NOW()</f>
        <v>46155.728605324075</v>
      </c>
    </row>
    <row r="16" spans="1:22" x14ac:dyDescent="0.25">
      <c r="A16" s="1" t="s">
        <v>160</v>
      </c>
      <c r="B16" s="1" t="s">
        <v>15</v>
      </c>
      <c r="C16" s="1" t="s">
        <v>33</v>
      </c>
      <c r="D16" s="1" t="s">
        <v>43</v>
      </c>
      <c r="E16" s="4">
        <v>42262</v>
      </c>
      <c r="F16" s="2">
        <v>42582</v>
      </c>
      <c r="G16">
        <v>1</v>
      </c>
      <c r="H16" s="1" t="s">
        <v>10</v>
      </c>
      <c r="I16" s="1" t="s">
        <v>161</v>
      </c>
      <c r="J16" t="s">
        <v>255</v>
      </c>
      <c r="K16" s="1">
        <f>IF(G16=5,E16*20%,IF(G16=4,E16*15%,IF(G16=3,E16*10%,IF(G16=2,E16*5%,))))</f>
        <v>0</v>
      </c>
      <c r="L16" s="4">
        <f>E16+K16</f>
        <v>42262</v>
      </c>
      <c r="M16" s="1">
        <f>YEAR(Sheet1[[#This Row],[Date of Joining]])</f>
        <v>2016</v>
      </c>
      <c r="N16" s="1">
        <f>MONTH(Sheet1[[#This Row],[Date of Joining]])</f>
        <v>7</v>
      </c>
      <c r="O16" s="1">
        <f ca="1">DATEDIF(F16,TODAY(),"Y")</f>
        <v>9</v>
      </c>
      <c r="P16" s="14">
        <f ca="1">NOW()</f>
        <v>46155.728605324075</v>
      </c>
    </row>
    <row r="17" spans="1:18" x14ac:dyDescent="0.25">
      <c r="A17" s="1" t="s">
        <v>216</v>
      </c>
      <c r="B17" s="1" t="s">
        <v>15</v>
      </c>
      <c r="C17" s="1" t="s">
        <v>16</v>
      </c>
      <c r="D17" s="1" t="s">
        <v>26</v>
      </c>
      <c r="E17" s="4">
        <v>38678</v>
      </c>
      <c r="F17" s="2">
        <v>42932</v>
      </c>
      <c r="G17">
        <v>3</v>
      </c>
      <c r="H17" s="1" t="s">
        <v>18</v>
      </c>
      <c r="I17" s="1" t="s">
        <v>217</v>
      </c>
      <c r="J17" t="s">
        <v>256</v>
      </c>
      <c r="K17" s="1">
        <f>IF(G17=5,E17*20%,IF(G17=4,E17*15%,IF(G17=3,E17*10%,IF(G17=2,E17*5%,))))</f>
        <v>3867.8</v>
      </c>
      <c r="L17" s="4">
        <f>E17+K17</f>
        <v>42545.8</v>
      </c>
      <c r="M17" s="1">
        <f>YEAR(Sheet1[[#This Row],[Date of Joining]])</f>
        <v>2017</v>
      </c>
      <c r="N17" s="1">
        <f>MONTH(Sheet1[[#This Row],[Date of Joining]])</f>
        <v>7</v>
      </c>
      <c r="O17" s="1">
        <f ca="1">DATEDIF(F17,TODAY(),"Y")</f>
        <v>8</v>
      </c>
      <c r="P17" s="14">
        <f ca="1">NOW()</f>
        <v>46155.728605324075</v>
      </c>
      <c r="R17" s="2"/>
    </row>
    <row r="18" spans="1:18" x14ac:dyDescent="0.25">
      <c r="A18" s="1" t="s">
        <v>80</v>
      </c>
      <c r="B18" s="1" t="s">
        <v>21</v>
      </c>
      <c r="C18" s="1" t="s">
        <v>33</v>
      </c>
      <c r="D18" s="1" t="s">
        <v>43</v>
      </c>
      <c r="E18" s="4">
        <v>41448</v>
      </c>
      <c r="F18" s="2">
        <v>42197</v>
      </c>
      <c r="G18">
        <v>3</v>
      </c>
      <c r="H18" s="1" t="s">
        <v>18</v>
      </c>
      <c r="I18" s="1" t="s">
        <v>81</v>
      </c>
      <c r="J18" t="s">
        <v>256</v>
      </c>
      <c r="K18" s="1">
        <f>IF(G18=5,E18*20%,IF(G18=4,E18*15%,IF(G18=3,E18*10%,IF(G18=2,E18*5%,))))</f>
        <v>4144.8</v>
      </c>
      <c r="L18" s="4">
        <f>E18+K18</f>
        <v>45592.800000000003</v>
      </c>
      <c r="M18" s="1">
        <f>YEAR(Sheet1[[#This Row],[Date of Joining]])</f>
        <v>2015</v>
      </c>
      <c r="N18" s="1">
        <f>MONTH(Sheet1[[#This Row],[Date of Joining]])</f>
        <v>7</v>
      </c>
      <c r="O18" s="1">
        <f ca="1">DATEDIF(F18,TODAY(),"Y")</f>
        <v>10</v>
      </c>
      <c r="P18" s="14">
        <f ca="1">NOW()</f>
        <v>46155.728605324075</v>
      </c>
      <c r="R18" s="14"/>
    </row>
    <row r="19" spans="1:18" x14ac:dyDescent="0.25">
      <c r="A19" s="1" t="s">
        <v>70</v>
      </c>
      <c r="B19" s="1" t="s">
        <v>15</v>
      </c>
      <c r="C19" s="1" t="s">
        <v>11</v>
      </c>
      <c r="D19" s="1" t="s">
        <v>12</v>
      </c>
      <c r="E19" s="4">
        <v>38333</v>
      </c>
      <c r="F19" s="2">
        <v>42162</v>
      </c>
      <c r="G19">
        <v>5</v>
      </c>
      <c r="H19" s="1" t="s">
        <v>10</v>
      </c>
      <c r="I19" s="1" t="s">
        <v>71</v>
      </c>
      <c r="J19" t="s">
        <v>257</v>
      </c>
      <c r="K19" s="1">
        <f>IF(G19=5,E19*20%,IF(G19=4,E19*15%,IF(G19=3,E19*10%,IF(G19=2,E19*5%,))))</f>
        <v>7666.6</v>
      </c>
      <c r="L19" s="4">
        <f>E19+K19</f>
        <v>45999.6</v>
      </c>
      <c r="M19" s="1">
        <f>YEAR(Sheet1[[#This Row],[Date of Joining]])</f>
        <v>2015</v>
      </c>
      <c r="N19" s="1">
        <f>MONTH(Sheet1[[#This Row],[Date of Joining]])</f>
        <v>6</v>
      </c>
      <c r="O19" s="1">
        <f ca="1">DATEDIF(F19,TODAY(),"Y")</f>
        <v>10</v>
      </c>
      <c r="P19" s="14">
        <f ca="1">NOW()</f>
        <v>46155.728605324075</v>
      </c>
    </row>
    <row r="20" spans="1:18" x14ac:dyDescent="0.25">
      <c r="A20" s="1" t="s">
        <v>186</v>
      </c>
      <c r="B20" s="1" t="s">
        <v>21</v>
      </c>
      <c r="C20" s="1" t="s">
        <v>16</v>
      </c>
      <c r="D20" s="1" t="s">
        <v>17</v>
      </c>
      <c r="E20" s="4">
        <v>42096</v>
      </c>
      <c r="F20" s="2">
        <v>42722</v>
      </c>
      <c r="G20">
        <v>3</v>
      </c>
      <c r="H20" s="1" t="s">
        <v>34</v>
      </c>
      <c r="I20" s="1" t="s">
        <v>187</v>
      </c>
      <c r="J20" t="s">
        <v>256</v>
      </c>
      <c r="K20" s="1">
        <f>IF(G20=5,E20*20%,IF(G20=4,E20*15%,IF(G20=3,E20*10%,IF(G20=2,E20*5%,))))</f>
        <v>4209.6000000000004</v>
      </c>
      <c r="L20" s="4">
        <f>E20+K20</f>
        <v>46305.599999999999</v>
      </c>
      <c r="M20" s="1">
        <f>YEAR(Sheet1[[#This Row],[Date of Joining]])</f>
        <v>2016</v>
      </c>
      <c r="N20" s="1">
        <f>MONTH(Sheet1[[#This Row],[Date of Joining]])</f>
        <v>12</v>
      </c>
      <c r="O20" s="1">
        <f ca="1">DATEDIF(F20,TODAY(),"Y")</f>
        <v>9</v>
      </c>
      <c r="P20" s="14">
        <f ca="1">NOW()</f>
        <v>46155.728605324075</v>
      </c>
    </row>
    <row r="21" spans="1:18" x14ac:dyDescent="0.25">
      <c r="A21" s="1" t="s">
        <v>120</v>
      </c>
      <c r="B21" s="1" t="s">
        <v>46</v>
      </c>
      <c r="C21" s="1" t="s">
        <v>25</v>
      </c>
      <c r="D21" s="1" t="s">
        <v>12</v>
      </c>
      <c r="E21" s="4">
        <v>39423</v>
      </c>
      <c r="F21" s="2">
        <v>42365</v>
      </c>
      <c r="G21">
        <v>5</v>
      </c>
      <c r="H21" s="1" t="s">
        <v>10</v>
      </c>
      <c r="I21" s="1" t="s">
        <v>121</v>
      </c>
      <c r="J21" t="s">
        <v>257</v>
      </c>
      <c r="K21" s="1">
        <f>IF(G21=5,E21*20%,IF(G21=4,E21*15%,IF(G21=3,E21*10%,IF(G21=2,E21*5%,))))</f>
        <v>7884.6</v>
      </c>
      <c r="L21" s="4">
        <f>E21+K21</f>
        <v>47307.6</v>
      </c>
      <c r="M21" s="1">
        <f>YEAR(Sheet1[[#This Row],[Date of Joining]])</f>
        <v>2015</v>
      </c>
      <c r="N21" s="1">
        <f>MONTH(Sheet1[[#This Row],[Date of Joining]])</f>
        <v>12</v>
      </c>
      <c r="O21" s="1">
        <f ca="1">DATEDIF(F21,TODAY(),"Y")</f>
        <v>10</v>
      </c>
      <c r="P21" s="14">
        <f ca="1">NOW()</f>
        <v>46155.728605324075</v>
      </c>
    </row>
    <row r="22" spans="1:18" x14ac:dyDescent="0.25">
      <c r="A22" s="1" t="s">
        <v>196</v>
      </c>
      <c r="B22" s="1" t="s">
        <v>21</v>
      </c>
      <c r="C22" s="1" t="s">
        <v>33</v>
      </c>
      <c r="D22" s="1" t="s">
        <v>26</v>
      </c>
      <c r="E22" s="4">
        <v>47653</v>
      </c>
      <c r="F22" s="2">
        <v>42799</v>
      </c>
      <c r="G22">
        <v>1</v>
      </c>
      <c r="H22" s="1" t="s">
        <v>27</v>
      </c>
      <c r="I22" s="1" t="s">
        <v>197</v>
      </c>
      <c r="J22" t="s">
        <v>255</v>
      </c>
      <c r="K22" s="1">
        <f>IF(G22=5,E22*20%,IF(G22=4,E22*15%,IF(G22=3,E22*10%,IF(G22=2,E22*5%,))))</f>
        <v>0</v>
      </c>
      <c r="L22" s="4">
        <f>E22+K22</f>
        <v>47653</v>
      </c>
      <c r="M22" s="1">
        <f>YEAR(Sheet1[[#This Row],[Date of Joining]])</f>
        <v>2017</v>
      </c>
      <c r="N22" s="1">
        <f>MONTH(Sheet1[[#This Row],[Date of Joining]])</f>
        <v>3</v>
      </c>
      <c r="O22" s="1">
        <f ca="1">DATEDIF(F22,TODAY(),"Y")</f>
        <v>9</v>
      </c>
      <c r="P22" s="14">
        <f ca="1">NOW()</f>
        <v>46155.728605324075</v>
      </c>
    </row>
    <row r="23" spans="1:18" x14ac:dyDescent="0.25">
      <c r="A23" s="1" t="s">
        <v>204</v>
      </c>
      <c r="B23" s="1" t="s">
        <v>37</v>
      </c>
      <c r="C23" s="1" t="s">
        <v>25</v>
      </c>
      <c r="D23" s="1" t="s">
        <v>26</v>
      </c>
      <c r="E23" s="4">
        <v>45676</v>
      </c>
      <c r="F23" s="2">
        <v>42855</v>
      </c>
      <c r="G23">
        <v>2</v>
      </c>
      <c r="H23" s="1" t="s">
        <v>10</v>
      </c>
      <c r="I23" s="1" t="s">
        <v>205</v>
      </c>
      <c r="J23" t="s">
        <v>254</v>
      </c>
      <c r="K23" s="1">
        <f>IF(G23=5,E23*20%,IF(G23=4,E23*15%,IF(G23=3,E23*10%,IF(G23=2,E23*5%,))))</f>
        <v>2283.8000000000002</v>
      </c>
      <c r="L23" s="4">
        <f>E23+K23</f>
        <v>47959.8</v>
      </c>
      <c r="M23" s="1">
        <f>YEAR(Sheet1[[#This Row],[Date of Joining]])</f>
        <v>2017</v>
      </c>
      <c r="N23" s="1">
        <f>MONTH(Sheet1[[#This Row],[Date of Joining]])</f>
        <v>4</v>
      </c>
      <c r="O23" s="1">
        <f ca="1">DATEDIF(F23,TODAY(),"Y")</f>
        <v>9</v>
      </c>
      <c r="P23" s="14">
        <f ca="1">NOW()</f>
        <v>46155.728605324075</v>
      </c>
    </row>
    <row r="24" spans="1:18" x14ac:dyDescent="0.25">
      <c r="A24" s="1" t="s">
        <v>82</v>
      </c>
      <c r="B24" s="1" t="s">
        <v>24</v>
      </c>
      <c r="C24" s="1" t="s">
        <v>16</v>
      </c>
      <c r="D24" s="1" t="s">
        <v>43</v>
      </c>
      <c r="E24" s="4">
        <v>49282</v>
      </c>
      <c r="F24" s="2">
        <v>42204</v>
      </c>
      <c r="G24">
        <v>2</v>
      </c>
      <c r="H24" s="1" t="s">
        <v>34</v>
      </c>
      <c r="I24" s="1" t="s">
        <v>83</v>
      </c>
      <c r="J24" t="s">
        <v>254</v>
      </c>
      <c r="K24" s="1">
        <f>IF(G24=5,E24*20%,IF(G24=4,E24*15%,IF(G24=3,E24*10%,IF(G24=2,E24*5%,))))</f>
        <v>2464.1000000000004</v>
      </c>
      <c r="L24" s="4">
        <f>E24+K24</f>
        <v>51746.1</v>
      </c>
      <c r="M24" s="1">
        <f>YEAR(Sheet1[[#This Row],[Date of Joining]])</f>
        <v>2015</v>
      </c>
      <c r="N24" s="1">
        <f>MONTH(Sheet1[[#This Row],[Date of Joining]])</f>
        <v>7</v>
      </c>
      <c r="O24" s="1">
        <f ca="1">DATEDIF(F24,TODAY(),"Y")</f>
        <v>10</v>
      </c>
      <c r="P24" s="14">
        <f ca="1">NOW()</f>
        <v>46155.728605324075</v>
      </c>
    </row>
    <row r="25" spans="1:18" x14ac:dyDescent="0.25">
      <c r="A25" s="1" t="s">
        <v>102</v>
      </c>
      <c r="B25" s="1" t="s">
        <v>37</v>
      </c>
      <c r="C25" s="1" t="s">
        <v>16</v>
      </c>
      <c r="D25" s="1" t="s">
        <v>43</v>
      </c>
      <c r="E25" s="4">
        <v>48224</v>
      </c>
      <c r="F25" s="2">
        <v>42281</v>
      </c>
      <c r="G25">
        <v>3</v>
      </c>
      <c r="H25" s="1" t="s">
        <v>10</v>
      </c>
      <c r="I25" s="1" t="s">
        <v>103</v>
      </c>
      <c r="J25" t="s">
        <v>256</v>
      </c>
      <c r="K25" s="1">
        <f>IF(G25=5,E25*20%,IF(G25=4,E25*15%,IF(G25=3,E25*10%,IF(G25=2,E25*5%,))))</f>
        <v>4822.4000000000005</v>
      </c>
      <c r="L25" s="4">
        <f>E25+K25</f>
        <v>53046.400000000001</v>
      </c>
      <c r="M25" s="1">
        <f>YEAR(Sheet1[[#This Row],[Date of Joining]])</f>
        <v>2015</v>
      </c>
      <c r="N25" s="1">
        <f>MONTH(Sheet1[[#This Row],[Date of Joining]])</f>
        <v>10</v>
      </c>
      <c r="O25" s="1">
        <f ca="1">DATEDIF(F25,TODAY(),"Y")</f>
        <v>10</v>
      </c>
      <c r="P25" s="14">
        <f ca="1">NOW()</f>
        <v>46155.728605324075</v>
      </c>
    </row>
    <row r="26" spans="1:18" x14ac:dyDescent="0.25">
      <c r="A26" s="1" t="s">
        <v>188</v>
      </c>
      <c r="B26" s="1" t="s">
        <v>15</v>
      </c>
      <c r="C26" s="1" t="s">
        <v>33</v>
      </c>
      <c r="D26" s="1" t="s">
        <v>12</v>
      </c>
      <c r="E26" s="4">
        <v>48325</v>
      </c>
      <c r="F26" s="2">
        <v>42750</v>
      </c>
      <c r="G26">
        <v>3</v>
      </c>
      <c r="H26" s="1" t="s">
        <v>27</v>
      </c>
      <c r="I26" s="1" t="s">
        <v>189</v>
      </c>
      <c r="J26" t="s">
        <v>256</v>
      </c>
      <c r="K26" s="1">
        <f>IF(G26=5,E26*20%,IF(G26=4,E26*15%,IF(G26=3,E26*10%,IF(G26=2,E26*5%,))))</f>
        <v>4832.5</v>
      </c>
      <c r="L26" s="4">
        <f>E26+K26</f>
        <v>53157.5</v>
      </c>
      <c r="M26" s="1">
        <f>YEAR(Sheet1[[#This Row],[Date of Joining]])</f>
        <v>2017</v>
      </c>
      <c r="N26" s="1">
        <f>MONTH(Sheet1[[#This Row],[Date of Joining]])</f>
        <v>1</v>
      </c>
      <c r="O26" s="1">
        <f ca="1">DATEDIF(F26,TODAY(),"Y")</f>
        <v>9</v>
      </c>
      <c r="P26" s="14">
        <f ca="1">NOW()</f>
        <v>46155.728605324075</v>
      </c>
    </row>
    <row r="27" spans="1:18" x14ac:dyDescent="0.25">
      <c r="A27" s="1" t="s">
        <v>14</v>
      </c>
      <c r="B27" s="1" t="s">
        <v>15</v>
      </c>
      <c r="C27" s="1" t="s">
        <v>16</v>
      </c>
      <c r="D27" s="1" t="s">
        <v>17</v>
      </c>
      <c r="E27" s="4">
        <v>54255</v>
      </c>
      <c r="F27" s="2">
        <v>42015</v>
      </c>
      <c r="G27">
        <v>1</v>
      </c>
      <c r="H27" s="1" t="s">
        <v>18</v>
      </c>
      <c r="I27" s="1" t="s">
        <v>19</v>
      </c>
      <c r="J27" t="s">
        <v>255</v>
      </c>
      <c r="K27" s="1">
        <f>IF(G27=5,E27*20%,IF(G27=4,E27*15%,IF(G27=3,E27*10%,IF(G27=2,E27*5%,))))</f>
        <v>0</v>
      </c>
      <c r="L27" s="4">
        <f>E27+K27</f>
        <v>54255</v>
      </c>
      <c r="M27" s="1">
        <f>YEAR(Sheet1[[#This Row],[Date of Joining]])</f>
        <v>2015</v>
      </c>
      <c r="N27" s="1">
        <f>MONTH(Sheet1[[#This Row],[Date of Joining]])</f>
        <v>1</v>
      </c>
      <c r="O27" s="1">
        <f ca="1">DATEDIF(F27,TODAY(),"Y")</f>
        <v>11</v>
      </c>
      <c r="P27" s="14">
        <f ca="1">NOW()</f>
        <v>46155.728605324075</v>
      </c>
    </row>
    <row r="28" spans="1:18" x14ac:dyDescent="0.25">
      <c r="A28" s="1" t="s">
        <v>206</v>
      </c>
      <c r="B28" s="1" t="s">
        <v>57</v>
      </c>
      <c r="C28" s="1" t="s">
        <v>25</v>
      </c>
      <c r="D28" s="1" t="s">
        <v>17</v>
      </c>
      <c r="E28" s="4">
        <v>52036</v>
      </c>
      <c r="F28" s="2">
        <v>42862</v>
      </c>
      <c r="G28">
        <v>3</v>
      </c>
      <c r="H28" s="1" t="s">
        <v>27</v>
      </c>
      <c r="I28" s="1" t="s">
        <v>207</v>
      </c>
      <c r="J28" t="s">
        <v>256</v>
      </c>
      <c r="K28" s="1">
        <f>IF(G28=5,E28*20%,IF(G28=4,E28*15%,IF(G28=3,E28*10%,IF(G28=2,E28*5%,))))</f>
        <v>5203.6000000000004</v>
      </c>
      <c r="L28" s="4">
        <f>E28+K28</f>
        <v>57239.6</v>
      </c>
      <c r="M28" s="1">
        <f>YEAR(Sheet1[[#This Row],[Date of Joining]])</f>
        <v>2017</v>
      </c>
      <c r="N28" s="1">
        <f>MONTH(Sheet1[[#This Row],[Date of Joining]])</f>
        <v>5</v>
      </c>
      <c r="O28" s="1">
        <f ca="1">DATEDIF(F28,TODAY(),"Y")</f>
        <v>9</v>
      </c>
      <c r="P28" s="14">
        <f ca="1">NOW()</f>
        <v>46155.728605324075</v>
      </c>
    </row>
    <row r="29" spans="1:18" x14ac:dyDescent="0.25">
      <c r="A29" s="1" t="s">
        <v>76</v>
      </c>
      <c r="B29" s="1" t="s">
        <v>37</v>
      </c>
      <c r="C29" s="1" t="s">
        <v>38</v>
      </c>
      <c r="D29" s="1" t="s">
        <v>12</v>
      </c>
      <c r="E29" s="4">
        <v>52272</v>
      </c>
      <c r="F29" s="2">
        <v>42183</v>
      </c>
      <c r="G29">
        <v>3</v>
      </c>
      <c r="H29" s="1" t="s">
        <v>10</v>
      </c>
      <c r="I29" s="1" t="s">
        <v>77</v>
      </c>
      <c r="J29" t="s">
        <v>256</v>
      </c>
      <c r="K29" s="1">
        <f>IF(G29=5,E29*20%,IF(G29=4,E29*15%,IF(G29=3,E29*10%,IF(G29=2,E29*5%,))))</f>
        <v>5227.2000000000007</v>
      </c>
      <c r="L29" s="4">
        <f>E29+K29</f>
        <v>57499.199999999997</v>
      </c>
      <c r="M29" s="1">
        <f>YEAR(Sheet1[[#This Row],[Date of Joining]])</f>
        <v>2015</v>
      </c>
      <c r="N29" s="1">
        <f>MONTH(Sheet1[[#This Row],[Date of Joining]])</f>
        <v>6</v>
      </c>
      <c r="O29" s="1">
        <f ca="1">DATEDIF(F29,TODAY(),"Y")</f>
        <v>10</v>
      </c>
      <c r="P29" s="14">
        <f ca="1">NOW()</f>
        <v>46155.728605324075</v>
      </c>
    </row>
    <row r="30" spans="1:18" x14ac:dyDescent="0.25">
      <c r="A30" s="1" t="s">
        <v>128</v>
      </c>
      <c r="B30" s="1" t="s">
        <v>24</v>
      </c>
      <c r="C30" s="1" t="s">
        <v>25</v>
      </c>
      <c r="D30" s="1" t="s">
        <v>60</v>
      </c>
      <c r="E30" s="4">
        <v>60011</v>
      </c>
      <c r="F30" s="2">
        <v>42400</v>
      </c>
      <c r="G30">
        <v>1</v>
      </c>
      <c r="H30" s="1" t="s">
        <v>27</v>
      </c>
      <c r="I30" s="1" t="s">
        <v>129</v>
      </c>
      <c r="J30" t="s">
        <v>255</v>
      </c>
      <c r="K30" s="1">
        <f>IF(G30=5,E30*20%,IF(G30=4,E30*15%,IF(G30=3,E30*10%,IF(G30=2,E30*5%,))))</f>
        <v>0</v>
      </c>
      <c r="L30" s="4">
        <f>E30+K30</f>
        <v>60011</v>
      </c>
      <c r="M30" s="1">
        <f>YEAR(Sheet1[[#This Row],[Date of Joining]])</f>
        <v>2016</v>
      </c>
      <c r="N30" s="1">
        <f>MONTH(Sheet1[[#This Row],[Date of Joining]])</f>
        <v>1</v>
      </c>
      <c r="O30" s="1">
        <f ca="1">DATEDIF(F30,TODAY(),"Y")</f>
        <v>10</v>
      </c>
      <c r="P30" s="14">
        <f ca="1">NOW()</f>
        <v>46155.728605324075</v>
      </c>
    </row>
    <row r="31" spans="1:18" x14ac:dyDescent="0.25">
      <c r="A31" s="1" t="s">
        <v>208</v>
      </c>
      <c r="B31" s="1" t="s">
        <v>24</v>
      </c>
      <c r="C31" s="1" t="s">
        <v>33</v>
      </c>
      <c r="D31" s="1" t="s">
        <v>12</v>
      </c>
      <c r="E31" s="4">
        <v>60034</v>
      </c>
      <c r="F31" s="2">
        <v>42876</v>
      </c>
      <c r="G31">
        <v>1</v>
      </c>
      <c r="H31" s="1" t="s">
        <v>34</v>
      </c>
      <c r="I31" s="1" t="s">
        <v>209</v>
      </c>
      <c r="J31" t="s">
        <v>255</v>
      </c>
      <c r="K31" s="1">
        <f>IF(G31=5,E31*20%,IF(G31=4,E31*15%,IF(G31=3,E31*10%,IF(G31=2,E31*5%,))))</f>
        <v>0</v>
      </c>
      <c r="L31" s="4">
        <f>E31+K31</f>
        <v>60034</v>
      </c>
      <c r="M31" s="1">
        <f>YEAR(Sheet1[[#This Row],[Date of Joining]])</f>
        <v>2017</v>
      </c>
      <c r="N31" s="1">
        <f>MONTH(Sheet1[[#This Row],[Date of Joining]])</f>
        <v>5</v>
      </c>
      <c r="O31" s="1">
        <f ca="1">DATEDIF(F31,TODAY(),"Y")</f>
        <v>8</v>
      </c>
      <c r="P31" s="14">
        <f ca="1">NOW()</f>
        <v>46155.728605324075</v>
      </c>
    </row>
    <row r="32" spans="1:18" x14ac:dyDescent="0.25">
      <c r="A32" s="1" t="s">
        <v>100</v>
      </c>
      <c r="B32" s="1" t="s">
        <v>24</v>
      </c>
      <c r="C32" s="1" t="s">
        <v>38</v>
      </c>
      <c r="D32" s="1" t="s">
        <v>43</v>
      </c>
      <c r="E32" s="4">
        <v>52093</v>
      </c>
      <c r="F32" s="2">
        <v>42274</v>
      </c>
      <c r="G32">
        <v>5</v>
      </c>
      <c r="H32" s="1" t="s">
        <v>10</v>
      </c>
      <c r="I32" s="1" t="s">
        <v>101</v>
      </c>
      <c r="J32" t="s">
        <v>257</v>
      </c>
      <c r="K32" s="1">
        <f>IF(G32=5,E32*20%,IF(G32=4,E32*15%,IF(G32=3,E32*10%,IF(G32=2,E32*5%,))))</f>
        <v>10418.6</v>
      </c>
      <c r="L32" s="4">
        <f>E32+K32</f>
        <v>62511.6</v>
      </c>
      <c r="M32" s="1">
        <f>YEAR(Sheet1[[#This Row],[Date of Joining]])</f>
        <v>2015</v>
      </c>
      <c r="N32" s="1">
        <f>MONTH(Sheet1[[#This Row],[Date of Joining]])</f>
        <v>9</v>
      </c>
      <c r="O32" s="1">
        <f ca="1">DATEDIF(F32,TODAY(),"Y")</f>
        <v>10</v>
      </c>
      <c r="P32" s="14">
        <f ca="1">NOW()</f>
        <v>46155.728605324075</v>
      </c>
    </row>
    <row r="33" spans="1:16" x14ac:dyDescent="0.25">
      <c r="A33" s="1" t="s">
        <v>52</v>
      </c>
      <c r="B33" s="1" t="s">
        <v>30</v>
      </c>
      <c r="C33" s="1" t="s">
        <v>16</v>
      </c>
      <c r="D33" s="1" t="s">
        <v>12</v>
      </c>
      <c r="E33" s="4">
        <v>59894</v>
      </c>
      <c r="F33" s="2">
        <v>42106</v>
      </c>
      <c r="G33">
        <v>2</v>
      </c>
      <c r="H33" s="1" t="s">
        <v>27</v>
      </c>
      <c r="I33" s="1" t="s">
        <v>53</v>
      </c>
      <c r="J33" t="s">
        <v>254</v>
      </c>
      <c r="K33" s="1">
        <f>IF(G33=5,E33*20%,IF(G33=4,E33*15%,IF(G33=3,E33*10%,IF(G33=2,E33*5%,))))</f>
        <v>2994.7000000000003</v>
      </c>
      <c r="L33" s="4">
        <f>E33+K33</f>
        <v>62888.7</v>
      </c>
      <c r="M33" s="1">
        <f>YEAR(Sheet1[[#This Row],[Date of Joining]])</f>
        <v>2015</v>
      </c>
      <c r="N33" s="1">
        <f>MONTH(Sheet1[[#This Row],[Date of Joining]])</f>
        <v>4</v>
      </c>
      <c r="O33" s="1">
        <f ca="1">DATEDIF(F33,TODAY(),"Y")</f>
        <v>11</v>
      </c>
      <c r="P33" s="14">
        <f ca="1">NOW()</f>
        <v>46155.728605324075</v>
      </c>
    </row>
    <row r="34" spans="1:16" x14ac:dyDescent="0.25">
      <c r="A34" s="1" t="s">
        <v>29</v>
      </c>
      <c r="B34" s="1" t="s">
        <v>30</v>
      </c>
      <c r="C34" s="1" t="s">
        <v>25</v>
      </c>
      <c r="D34" s="1" t="s">
        <v>17</v>
      </c>
      <c r="E34" s="4">
        <v>64120</v>
      </c>
      <c r="F34" s="2">
        <v>42036</v>
      </c>
      <c r="G34">
        <v>1</v>
      </c>
      <c r="H34" s="1" t="s">
        <v>27</v>
      </c>
      <c r="I34" s="1" t="s">
        <v>31</v>
      </c>
      <c r="J34" t="s">
        <v>255</v>
      </c>
      <c r="K34" s="1">
        <f>IF(G34=5,E34*20%,IF(G34=4,E34*15%,IF(G34=3,E34*10%,IF(G34=2,E34*5%,))))</f>
        <v>0</v>
      </c>
      <c r="L34" s="4">
        <f>E34+K34</f>
        <v>64120</v>
      </c>
      <c r="M34" s="1">
        <f>YEAR(Sheet1[[#This Row],[Date of Joining]])</f>
        <v>2015</v>
      </c>
      <c r="N34" s="1">
        <f>MONTH(Sheet1[[#This Row],[Date of Joining]])</f>
        <v>2</v>
      </c>
      <c r="O34" s="1">
        <f ca="1">DATEDIF(F34,TODAY(),"Y")</f>
        <v>11</v>
      </c>
      <c r="P34" s="14">
        <f ca="1">NOW()</f>
        <v>46155.728605324075</v>
      </c>
    </row>
    <row r="35" spans="1:16" x14ac:dyDescent="0.25">
      <c r="A35" s="1" t="s">
        <v>45</v>
      </c>
      <c r="B35" s="1" t="s">
        <v>46</v>
      </c>
      <c r="C35" s="1" t="s">
        <v>11</v>
      </c>
      <c r="D35" s="1" t="s">
        <v>43</v>
      </c>
      <c r="E35" s="4">
        <v>64247</v>
      </c>
      <c r="F35" s="2">
        <v>42078</v>
      </c>
      <c r="G35">
        <v>1</v>
      </c>
      <c r="H35" s="1" t="s">
        <v>34</v>
      </c>
      <c r="I35" s="1" t="s">
        <v>47</v>
      </c>
      <c r="J35" t="s">
        <v>255</v>
      </c>
      <c r="K35" s="1">
        <f>IF(G35=5,E35*20%,IF(G35=4,E35*15%,IF(G35=3,E35*10%,IF(G35=2,E35*5%,))))</f>
        <v>0</v>
      </c>
      <c r="L35" s="4">
        <f>E35+K35</f>
        <v>64247</v>
      </c>
      <c r="M35" s="1">
        <f>YEAR(Sheet1[[#This Row],[Date of Joining]])</f>
        <v>2015</v>
      </c>
      <c r="N35" s="1">
        <f>MONTH(Sheet1[[#This Row],[Date of Joining]])</f>
        <v>3</v>
      </c>
      <c r="O35" s="1">
        <f ca="1">DATEDIF(F35,TODAY(),"Y")</f>
        <v>11</v>
      </c>
      <c r="P35" s="14">
        <f ca="1">NOW()</f>
        <v>46155.728605324075</v>
      </c>
    </row>
    <row r="36" spans="1:16" x14ac:dyDescent="0.25">
      <c r="A36" s="1" t="s">
        <v>108</v>
      </c>
      <c r="B36" s="1" t="s">
        <v>57</v>
      </c>
      <c r="C36" s="1" t="s">
        <v>38</v>
      </c>
      <c r="D36" s="1" t="s">
        <v>60</v>
      </c>
      <c r="E36" s="4">
        <v>64913</v>
      </c>
      <c r="F36" s="2">
        <v>42302</v>
      </c>
      <c r="G36">
        <v>1</v>
      </c>
      <c r="H36" s="1" t="s">
        <v>34</v>
      </c>
      <c r="I36" s="1" t="s">
        <v>109</v>
      </c>
      <c r="J36" t="s">
        <v>255</v>
      </c>
      <c r="K36" s="1">
        <f>IF(G36=5,E36*20%,IF(G36=4,E36*15%,IF(G36=3,E36*10%,IF(G36=2,E36*5%,))))</f>
        <v>0</v>
      </c>
      <c r="L36" s="4">
        <f>E36+K36</f>
        <v>64913</v>
      </c>
      <c r="M36" s="1">
        <f>YEAR(Sheet1[[#This Row],[Date of Joining]])</f>
        <v>2015</v>
      </c>
      <c r="N36" s="1">
        <f>MONTH(Sheet1[[#This Row],[Date of Joining]])</f>
        <v>10</v>
      </c>
      <c r="O36" s="1">
        <f ca="1">DATEDIF(F36,TODAY(),"Y")</f>
        <v>10</v>
      </c>
      <c r="P36" s="14">
        <f ca="1">NOW()</f>
        <v>46155.728605324075</v>
      </c>
    </row>
    <row r="37" spans="1:16" x14ac:dyDescent="0.25">
      <c r="A37" s="1" t="s">
        <v>224</v>
      </c>
      <c r="B37" s="1" t="s">
        <v>57</v>
      </c>
      <c r="C37" s="1" t="s">
        <v>25</v>
      </c>
      <c r="D37" s="1" t="s">
        <v>60</v>
      </c>
      <c r="E37" s="4">
        <v>65270</v>
      </c>
      <c r="F37" s="2">
        <v>43037</v>
      </c>
      <c r="G37">
        <v>1</v>
      </c>
      <c r="H37" s="1" t="s">
        <v>10</v>
      </c>
      <c r="I37" s="1" t="s">
        <v>225</v>
      </c>
      <c r="J37" t="s">
        <v>255</v>
      </c>
      <c r="K37" s="1">
        <f>IF(G37=5,E37*20%,IF(G37=4,E37*15%,IF(G37=3,E37*10%,IF(G37=2,E37*5%,))))</f>
        <v>0</v>
      </c>
      <c r="L37" s="4">
        <f>E37+K37</f>
        <v>65270</v>
      </c>
      <c r="M37" s="1">
        <f>YEAR(Sheet1[[#This Row],[Date of Joining]])</f>
        <v>2017</v>
      </c>
      <c r="N37" s="1">
        <f>MONTH(Sheet1[[#This Row],[Date of Joining]])</f>
        <v>10</v>
      </c>
      <c r="O37" s="1">
        <f ca="1">DATEDIF(F37,TODAY(),"Y")</f>
        <v>8</v>
      </c>
      <c r="P37" s="14">
        <f ca="1">NOW()</f>
        <v>46155.728605324075</v>
      </c>
    </row>
    <row r="38" spans="1:16" x14ac:dyDescent="0.25">
      <c r="A38" s="1" t="s">
        <v>20</v>
      </c>
      <c r="B38" s="1" t="s">
        <v>21</v>
      </c>
      <c r="C38" s="1" t="s">
        <v>11</v>
      </c>
      <c r="D38" s="1" t="s">
        <v>17</v>
      </c>
      <c r="E38" s="4">
        <v>63184</v>
      </c>
      <c r="F38" s="2">
        <v>42022</v>
      </c>
      <c r="G38">
        <v>2</v>
      </c>
      <c r="H38" s="1" t="s">
        <v>10</v>
      </c>
      <c r="I38" s="1" t="s">
        <v>22</v>
      </c>
      <c r="J38" t="s">
        <v>254</v>
      </c>
      <c r="K38" s="1">
        <f>IF(G38=5,E38*20%,IF(G38=4,E38*15%,IF(G38=3,E38*10%,IF(G38=2,E38*5%,))))</f>
        <v>3159.2000000000003</v>
      </c>
      <c r="L38" s="4">
        <f>E38+K38</f>
        <v>66343.199999999997</v>
      </c>
      <c r="M38" s="1">
        <f>YEAR(Sheet1[[#This Row],[Date of Joining]])</f>
        <v>2015</v>
      </c>
      <c r="N38" s="1">
        <f>MONTH(Sheet1[[#This Row],[Date of Joining]])</f>
        <v>1</v>
      </c>
      <c r="O38" s="1">
        <f ca="1">DATEDIF(F38,TODAY(),"Y")</f>
        <v>11</v>
      </c>
      <c r="P38" s="14">
        <f ca="1">NOW()</f>
        <v>46155.728605324075</v>
      </c>
    </row>
    <row r="39" spans="1:16" x14ac:dyDescent="0.25">
      <c r="A39" s="1" t="s">
        <v>190</v>
      </c>
      <c r="B39" s="1" t="s">
        <v>46</v>
      </c>
      <c r="C39" s="1" t="s">
        <v>16</v>
      </c>
      <c r="D39" s="1" t="s">
        <v>12</v>
      </c>
      <c r="E39" s="4">
        <v>66761</v>
      </c>
      <c r="F39" s="2">
        <v>42764</v>
      </c>
      <c r="G39">
        <v>1</v>
      </c>
      <c r="H39" s="1" t="s">
        <v>10</v>
      </c>
      <c r="I39" s="1" t="s">
        <v>191</v>
      </c>
      <c r="J39" t="s">
        <v>255</v>
      </c>
      <c r="K39" s="1">
        <f>IF(G39=5,E39*20%,IF(G39=4,E39*15%,IF(G39=3,E39*10%,IF(G39=2,E39*5%,))))</f>
        <v>0</v>
      </c>
      <c r="L39" s="4">
        <f>E39+K39</f>
        <v>66761</v>
      </c>
      <c r="M39" s="1">
        <f>YEAR(Sheet1[[#This Row],[Date of Joining]])</f>
        <v>2017</v>
      </c>
      <c r="N39" s="1">
        <f>MONTH(Sheet1[[#This Row],[Date of Joining]])</f>
        <v>1</v>
      </c>
      <c r="O39" s="1">
        <f ca="1">DATEDIF(F39,TODAY(),"Y")</f>
        <v>9</v>
      </c>
      <c r="P39" s="14">
        <f ca="1">NOW()</f>
        <v>46155.728605324075</v>
      </c>
    </row>
    <row r="40" spans="1:16" x14ac:dyDescent="0.25">
      <c r="A40" s="1" t="s">
        <v>116</v>
      </c>
      <c r="B40" s="1" t="s">
        <v>37</v>
      </c>
      <c r="C40" s="1" t="s">
        <v>16</v>
      </c>
      <c r="D40" s="1" t="s">
        <v>12</v>
      </c>
      <c r="E40" s="4">
        <v>58245</v>
      </c>
      <c r="F40" s="2">
        <v>42337</v>
      </c>
      <c r="G40">
        <v>4</v>
      </c>
      <c r="H40" s="1" t="s">
        <v>10</v>
      </c>
      <c r="I40" s="1" t="s">
        <v>117</v>
      </c>
      <c r="J40" t="s">
        <v>258</v>
      </c>
      <c r="K40" s="1">
        <f>IF(G40=5,E40*20%,IF(G40=4,E40*15%,IF(G40=3,E40*10%,IF(G40=2,E40*5%,))))</f>
        <v>8736.75</v>
      </c>
      <c r="L40" s="4">
        <f>E40+K40</f>
        <v>66981.75</v>
      </c>
      <c r="M40" s="1">
        <f>YEAR(Sheet1[[#This Row],[Date of Joining]])</f>
        <v>2015</v>
      </c>
      <c r="N40" s="1">
        <f>MONTH(Sheet1[[#This Row],[Date of Joining]])</f>
        <v>11</v>
      </c>
      <c r="O40" s="1">
        <f ca="1">DATEDIF(F40,TODAY(),"Y")</f>
        <v>10</v>
      </c>
      <c r="P40" s="14">
        <f ca="1">NOW()</f>
        <v>46155.728605324075</v>
      </c>
    </row>
    <row r="41" spans="1:16" x14ac:dyDescent="0.25">
      <c r="A41" s="1" t="s">
        <v>144</v>
      </c>
      <c r="B41" s="1" t="s">
        <v>21</v>
      </c>
      <c r="C41" s="1" t="s">
        <v>25</v>
      </c>
      <c r="D41" s="1" t="s">
        <v>12</v>
      </c>
      <c r="E41" s="4">
        <v>61942</v>
      </c>
      <c r="F41" s="2">
        <v>42477</v>
      </c>
      <c r="G41">
        <v>3</v>
      </c>
      <c r="H41" s="1" t="s">
        <v>34</v>
      </c>
      <c r="I41" s="1" t="s">
        <v>145</v>
      </c>
      <c r="J41" t="s">
        <v>256</v>
      </c>
      <c r="K41" s="1">
        <f>IF(G41=5,E41*20%,IF(G41=4,E41*15%,IF(G41=3,E41*10%,IF(G41=2,E41*5%,))))</f>
        <v>6194.2000000000007</v>
      </c>
      <c r="L41" s="4">
        <f>E41+K41</f>
        <v>68136.2</v>
      </c>
      <c r="M41" s="1">
        <f>YEAR(Sheet1[[#This Row],[Date of Joining]])</f>
        <v>2016</v>
      </c>
      <c r="N41" s="1">
        <f>MONTH(Sheet1[[#This Row],[Date of Joining]])</f>
        <v>4</v>
      </c>
      <c r="O41" s="1">
        <f ca="1">DATEDIF(F41,TODAY(),"Y")</f>
        <v>10</v>
      </c>
      <c r="P41" s="14">
        <f ca="1">NOW()</f>
        <v>46155.728605324075</v>
      </c>
    </row>
    <row r="42" spans="1:16" x14ac:dyDescent="0.25">
      <c r="A42" s="1" t="s">
        <v>152</v>
      </c>
      <c r="B42" s="1" t="s">
        <v>30</v>
      </c>
      <c r="C42" s="1" t="s">
        <v>38</v>
      </c>
      <c r="D42" s="1" t="s">
        <v>43</v>
      </c>
      <c r="E42" s="4">
        <v>69166</v>
      </c>
      <c r="F42" s="2">
        <v>42547</v>
      </c>
      <c r="G42">
        <v>1</v>
      </c>
      <c r="H42" s="1" t="s">
        <v>34</v>
      </c>
      <c r="I42" s="1" t="s">
        <v>153</v>
      </c>
      <c r="J42" t="s">
        <v>255</v>
      </c>
      <c r="K42" s="1">
        <f>IF(G42=5,E42*20%,IF(G42=4,E42*15%,IF(G42=3,E42*10%,IF(G42=2,E42*5%,))))</f>
        <v>0</v>
      </c>
      <c r="L42" s="4">
        <f>E42+K42</f>
        <v>69166</v>
      </c>
      <c r="M42" s="1">
        <f>YEAR(Sheet1[[#This Row],[Date of Joining]])</f>
        <v>2016</v>
      </c>
      <c r="N42" s="1">
        <f>MONTH(Sheet1[[#This Row],[Date of Joining]])</f>
        <v>6</v>
      </c>
      <c r="O42" s="1">
        <f ca="1">DATEDIF(F42,TODAY(),"Y")</f>
        <v>9</v>
      </c>
      <c r="P42" s="14">
        <f ca="1">NOW()</f>
        <v>46155.728605324075</v>
      </c>
    </row>
    <row r="43" spans="1:16" x14ac:dyDescent="0.25">
      <c r="A43" s="1" t="s">
        <v>156</v>
      </c>
      <c r="B43" s="1" t="s">
        <v>37</v>
      </c>
      <c r="C43" s="1" t="s">
        <v>25</v>
      </c>
      <c r="D43" s="1" t="s">
        <v>26</v>
      </c>
      <c r="E43" s="4">
        <v>66079</v>
      </c>
      <c r="F43" s="2">
        <v>42561</v>
      </c>
      <c r="G43">
        <v>2</v>
      </c>
      <c r="H43" s="1" t="s">
        <v>18</v>
      </c>
      <c r="I43" s="1" t="s">
        <v>157</v>
      </c>
      <c r="J43" t="s">
        <v>254</v>
      </c>
      <c r="K43" s="1">
        <f>IF(G43=5,E43*20%,IF(G43=4,E43*15%,IF(G43=3,E43*10%,IF(G43=2,E43*5%,))))</f>
        <v>3303.9500000000003</v>
      </c>
      <c r="L43" s="4">
        <f>E43+K43</f>
        <v>69382.95</v>
      </c>
      <c r="M43" s="1">
        <f>YEAR(Sheet1[[#This Row],[Date of Joining]])</f>
        <v>2016</v>
      </c>
      <c r="N43" s="1">
        <f>MONTH(Sheet1[[#This Row],[Date of Joining]])</f>
        <v>7</v>
      </c>
      <c r="O43" s="1">
        <f ca="1">DATEDIF(F43,TODAY(),"Y")</f>
        <v>9</v>
      </c>
      <c r="P43" s="14">
        <f ca="1">NOW()</f>
        <v>46155.728605324075</v>
      </c>
    </row>
    <row r="44" spans="1:16" x14ac:dyDescent="0.25">
      <c r="A44" s="1" t="s">
        <v>9</v>
      </c>
      <c r="B44" s="1" t="s">
        <v>10</v>
      </c>
      <c r="C44" s="1" t="s">
        <v>11</v>
      </c>
      <c r="D44" s="1" t="s">
        <v>12</v>
      </c>
      <c r="E44" s="4">
        <v>66280</v>
      </c>
      <c r="F44" s="2">
        <v>42589</v>
      </c>
      <c r="G44">
        <v>2</v>
      </c>
      <c r="H44" s="1" t="s">
        <v>10</v>
      </c>
      <c r="I44" s="1" t="s">
        <v>13</v>
      </c>
      <c r="J44" t="s">
        <v>254</v>
      </c>
      <c r="K44" s="1">
        <f>IF(G44=5,E44*20%,IF(G44=4,E44*15%,IF(G44=3,E44*10%,IF(G44=2,E44*5%,))))</f>
        <v>3314</v>
      </c>
      <c r="L44" s="4">
        <f>E44+K44</f>
        <v>69594</v>
      </c>
      <c r="M44" s="1">
        <f>YEAR(Sheet1[[#This Row],[Date of Joining]])</f>
        <v>2016</v>
      </c>
      <c r="N44" s="1">
        <f>MONTH(Sheet1[[#This Row],[Date of Joining]])</f>
        <v>8</v>
      </c>
      <c r="O44" s="1">
        <f ca="1">DATEDIF(F44,TODAY(),"Y")</f>
        <v>9</v>
      </c>
      <c r="P44" s="14">
        <f ca="1">NOW()</f>
        <v>46155.728605324075</v>
      </c>
    </row>
    <row r="45" spans="1:16" x14ac:dyDescent="0.25">
      <c r="A45" s="1" t="s">
        <v>66</v>
      </c>
      <c r="B45" s="1" t="s">
        <v>30</v>
      </c>
      <c r="C45" s="1" t="s">
        <v>16</v>
      </c>
      <c r="D45" s="1" t="s">
        <v>26</v>
      </c>
      <c r="E45" s="4">
        <v>66280</v>
      </c>
      <c r="F45" s="2">
        <v>42148</v>
      </c>
      <c r="G45">
        <v>2</v>
      </c>
      <c r="H45" s="1" t="s">
        <v>18</v>
      </c>
      <c r="I45" s="1" t="s">
        <v>67</v>
      </c>
      <c r="J45" t="s">
        <v>254</v>
      </c>
      <c r="K45" s="1">
        <f>IF(G45=5,E45*20%,IF(G45=4,E45*15%,IF(G45=3,E45*10%,IF(G45=2,E45*5%,))))</f>
        <v>3314</v>
      </c>
      <c r="L45" s="4">
        <f>E45+K45</f>
        <v>69594</v>
      </c>
      <c r="M45" s="1">
        <f>YEAR(Sheet1[[#This Row],[Date of Joining]])</f>
        <v>2015</v>
      </c>
      <c r="N45" s="1">
        <f>MONTH(Sheet1[[#This Row],[Date of Joining]])</f>
        <v>5</v>
      </c>
      <c r="O45" s="1">
        <f ca="1">DATEDIF(F45,TODAY(),"Y")</f>
        <v>10</v>
      </c>
      <c r="P45" s="14">
        <f ca="1">NOW()</f>
        <v>46155.728605324075</v>
      </c>
    </row>
    <row r="46" spans="1:16" x14ac:dyDescent="0.25">
      <c r="A46" s="1" t="s">
        <v>184</v>
      </c>
      <c r="B46" s="1" t="s">
        <v>57</v>
      </c>
      <c r="C46" s="1" t="s">
        <v>38</v>
      </c>
      <c r="D46" s="1" t="s">
        <v>12</v>
      </c>
      <c r="E46" s="4">
        <v>66280</v>
      </c>
      <c r="F46" s="2">
        <v>42708</v>
      </c>
      <c r="G46">
        <v>2</v>
      </c>
      <c r="H46" s="1" t="s">
        <v>18</v>
      </c>
      <c r="I46" s="1" t="s">
        <v>185</v>
      </c>
      <c r="J46" t="s">
        <v>254</v>
      </c>
      <c r="K46" s="1">
        <f>IF(G46=5,E46*20%,IF(G46=4,E46*15%,IF(G46=3,E46*10%,IF(G46=2,E46*5%,))))</f>
        <v>3314</v>
      </c>
      <c r="L46" s="4">
        <f>E46+K46</f>
        <v>69594</v>
      </c>
      <c r="M46" s="1">
        <f>YEAR(Sheet1[[#This Row],[Date of Joining]])</f>
        <v>2016</v>
      </c>
      <c r="N46" s="1">
        <f>MONTH(Sheet1[[#This Row],[Date of Joining]])</f>
        <v>12</v>
      </c>
      <c r="O46" s="1">
        <f ca="1">DATEDIF(F46,TODAY(),"Y")</f>
        <v>9</v>
      </c>
      <c r="P46" s="14">
        <f ca="1">NOW()</f>
        <v>46155.728605324075</v>
      </c>
    </row>
    <row r="47" spans="1:16" x14ac:dyDescent="0.25">
      <c r="A47" s="1" t="s">
        <v>168</v>
      </c>
      <c r="B47" s="1" t="s">
        <v>37</v>
      </c>
      <c r="C47" s="1" t="s">
        <v>33</v>
      </c>
      <c r="D47" s="1" t="s">
        <v>12</v>
      </c>
      <c r="E47" s="4">
        <v>63434</v>
      </c>
      <c r="F47" s="2">
        <v>42624</v>
      </c>
      <c r="G47">
        <v>3</v>
      </c>
      <c r="H47" s="1" t="s">
        <v>10</v>
      </c>
      <c r="I47" s="1" t="s">
        <v>169</v>
      </c>
      <c r="J47" t="s">
        <v>256</v>
      </c>
      <c r="K47" s="1">
        <f>IF(G47=5,E47*20%,IF(G47=4,E47*15%,IF(G47=3,E47*10%,IF(G47=2,E47*5%,))))</f>
        <v>6343.4000000000005</v>
      </c>
      <c r="L47" s="4">
        <f>E47+K47</f>
        <v>69777.399999999994</v>
      </c>
      <c r="M47" s="1">
        <f>YEAR(Sheet1[[#This Row],[Date of Joining]])</f>
        <v>2016</v>
      </c>
      <c r="N47" s="1">
        <f>MONTH(Sheet1[[#This Row],[Date of Joining]])</f>
        <v>9</v>
      </c>
      <c r="O47" s="1">
        <f ca="1">DATEDIF(F47,TODAY(),"Y")</f>
        <v>9</v>
      </c>
      <c r="P47" s="14">
        <f ca="1">NOW()</f>
        <v>46155.728605324075</v>
      </c>
    </row>
    <row r="48" spans="1:16" x14ac:dyDescent="0.25">
      <c r="A48" s="1" t="s">
        <v>98</v>
      </c>
      <c r="B48" s="1" t="s">
        <v>21</v>
      </c>
      <c r="C48" s="1" t="s">
        <v>16</v>
      </c>
      <c r="D48" s="1" t="s">
        <v>12</v>
      </c>
      <c r="E48" s="4">
        <v>64796</v>
      </c>
      <c r="F48" s="2">
        <v>42267</v>
      </c>
      <c r="G48">
        <v>3</v>
      </c>
      <c r="H48" s="1" t="s">
        <v>18</v>
      </c>
      <c r="I48" s="1" t="s">
        <v>99</v>
      </c>
      <c r="J48" t="s">
        <v>256</v>
      </c>
      <c r="K48" s="1">
        <f>IF(G48=5,E48*20%,IF(G48=4,E48*15%,IF(G48=3,E48*10%,IF(G48=2,E48*5%,))))</f>
        <v>6479.6</v>
      </c>
      <c r="L48" s="4">
        <f>E48+K48</f>
        <v>71275.600000000006</v>
      </c>
      <c r="M48" s="1">
        <f>YEAR(Sheet1[[#This Row],[Date of Joining]])</f>
        <v>2015</v>
      </c>
      <c r="N48" s="1">
        <f>MONTH(Sheet1[[#This Row],[Date of Joining]])</f>
        <v>9</v>
      </c>
      <c r="O48" s="1">
        <f ca="1">DATEDIF(F48,TODAY(),"Y")</f>
        <v>10</v>
      </c>
      <c r="P48" s="14">
        <f ca="1">NOW()</f>
        <v>46155.728605324075</v>
      </c>
    </row>
    <row r="49" spans="1:16" x14ac:dyDescent="0.25">
      <c r="A49" s="1" t="s">
        <v>50</v>
      </c>
      <c r="B49" s="1" t="s">
        <v>46</v>
      </c>
      <c r="C49" s="1" t="s">
        <v>38</v>
      </c>
      <c r="D49" s="1" t="s">
        <v>12</v>
      </c>
      <c r="E49" s="4">
        <v>62158</v>
      </c>
      <c r="F49" s="2">
        <v>42099</v>
      </c>
      <c r="G49">
        <v>4</v>
      </c>
      <c r="H49" s="1" t="s">
        <v>10</v>
      </c>
      <c r="I49" s="1" t="s">
        <v>51</v>
      </c>
      <c r="J49" t="s">
        <v>258</v>
      </c>
      <c r="K49" s="1">
        <f>IF(G49=5,E49*20%,IF(G49=4,E49*15%,IF(G49=3,E49*10%,IF(G49=2,E49*5%,))))</f>
        <v>9323.6999999999989</v>
      </c>
      <c r="L49" s="4">
        <f>E49+K49</f>
        <v>71481.7</v>
      </c>
      <c r="M49" s="1">
        <f>YEAR(Sheet1[[#This Row],[Date of Joining]])</f>
        <v>2015</v>
      </c>
      <c r="N49" s="1">
        <f>MONTH(Sheet1[[#This Row],[Date of Joining]])</f>
        <v>4</v>
      </c>
      <c r="O49" s="1">
        <f ca="1">DATEDIF(F49,TODAY(),"Y")</f>
        <v>11</v>
      </c>
      <c r="P49" s="14">
        <f ca="1">NOW()</f>
        <v>46155.728605324075</v>
      </c>
    </row>
    <row r="50" spans="1:16" x14ac:dyDescent="0.25">
      <c r="A50" s="1" t="s">
        <v>198</v>
      </c>
      <c r="B50" s="1" t="s">
        <v>57</v>
      </c>
      <c r="C50" s="1" t="s">
        <v>38</v>
      </c>
      <c r="D50" s="1" t="s">
        <v>12</v>
      </c>
      <c r="E50" s="4">
        <v>73483</v>
      </c>
      <c r="F50" s="2">
        <v>42827</v>
      </c>
      <c r="G50">
        <v>1</v>
      </c>
      <c r="H50" s="1" t="s">
        <v>10</v>
      </c>
      <c r="I50" s="1" t="s">
        <v>199</v>
      </c>
      <c r="J50" t="s">
        <v>255</v>
      </c>
      <c r="K50" s="1">
        <f>IF(G50=5,E50*20%,IF(G50=4,E50*15%,IF(G50=3,E50*10%,IF(G50=2,E50*5%,))))</f>
        <v>0</v>
      </c>
      <c r="L50" s="4">
        <f>E50+K50</f>
        <v>73483</v>
      </c>
      <c r="M50" s="1">
        <f>YEAR(Sheet1[[#This Row],[Date of Joining]])</f>
        <v>2017</v>
      </c>
      <c r="N50" s="1">
        <f>MONTH(Sheet1[[#This Row],[Date of Joining]])</f>
        <v>4</v>
      </c>
      <c r="O50" s="1">
        <f ca="1">DATEDIF(F50,TODAY(),"Y")</f>
        <v>9</v>
      </c>
      <c r="P50" s="14">
        <f ca="1">NOW()</f>
        <v>46155.728605324075</v>
      </c>
    </row>
    <row r="51" spans="1:16" x14ac:dyDescent="0.25">
      <c r="A51" s="1" t="s">
        <v>104</v>
      </c>
      <c r="B51" s="1" t="s">
        <v>57</v>
      </c>
      <c r="C51" s="1" t="s">
        <v>11</v>
      </c>
      <c r="D51" s="1" t="s">
        <v>43</v>
      </c>
      <c r="E51" s="4">
        <v>66280</v>
      </c>
      <c r="F51" s="2">
        <v>42589</v>
      </c>
      <c r="G51">
        <v>4</v>
      </c>
      <c r="H51" s="1" t="s">
        <v>34</v>
      </c>
      <c r="I51" s="1" t="s">
        <v>105</v>
      </c>
      <c r="J51" t="s">
        <v>258</v>
      </c>
      <c r="K51" s="1">
        <f>IF(G51=5,E51*20%,IF(G51=4,E51*15%,IF(G51=3,E51*10%,IF(G51=2,E51*5%,))))</f>
        <v>9942</v>
      </c>
      <c r="L51" s="4">
        <f>E51+K51</f>
        <v>76222</v>
      </c>
      <c r="M51" s="1">
        <f>YEAR(Sheet1[[#This Row],[Date of Joining]])</f>
        <v>2016</v>
      </c>
      <c r="N51" s="1">
        <f>MONTH(Sheet1[[#This Row],[Date of Joining]])</f>
        <v>8</v>
      </c>
      <c r="O51" s="1">
        <f ca="1">DATEDIF(F51,TODAY(),"Y")</f>
        <v>9</v>
      </c>
      <c r="P51" s="14">
        <f ca="1">NOW()</f>
        <v>46155.728605324075</v>
      </c>
    </row>
    <row r="52" spans="1:16" x14ac:dyDescent="0.25">
      <c r="A52" s="1" t="s">
        <v>146</v>
      </c>
      <c r="B52" s="1" t="s">
        <v>57</v>
      </c>
      <c r="C52" s="1" t="s">
        <v>11</v>
      </c>
      <c r="D52" s="1" t="s">
        <v>12</v>
      </c>
      <c r="E52" s="4">
        <v>77096</v>
      </c>
      <c r="F52" s="2">
        <v>42491</v>
      </c>
      <c r="G52">
        <v>1</v>
      </c>
      <c r="H52" s="1" t="s">
        <v>10</v>
      </c>
      <c r="I52" s="1" t="s">
        <v>147</v>
      </c>
      <c r="J52" t="s">
        <v>255</v>
      </c>
      <c r="K52" s="1">
        <f>IF(G52=5,E52*20%,IF(G52=4,E52*15%,IF(G52=3,E52*10%,IF(G52=2,E52*5%,))))</f>
        <v>0</v>
      </c>
      <c r="L52" s="4">
        <f>E52+K52</f>
        <v>77096</v>
      </c>
      <c r="M52" s="1">
        <f>YEAR(Sheet1[[#This Row],[Date of Joining]])</f>
        <v>2016</v>
      </c>
      <c r="N52" s="1">
        <f>MONTH(Sheet1[[#This Row],[Date of Joining]])</f>
        <v>5</v>
      </c>
      <c r="O52" s="1">
        <f ca="1">DATEDIF(F52,TODAY(),"Y")</f>
        <v>10</v>
      </c>
      <c r="P52" s="14">
        <f ca="1">NOW()</f>
        <v>46155.728605324075</v>
      </c>
    </row>
    <row r="53" spans="1:16" x14ac:dyDescent="0.25">
      <c r="A53" s="1" t="s">
        <v>180</v>
      </c>
      <c r="B53" s="1" t="s">
        <v>57</v>
      </c>
      <c r="C53" s="1" t="s">
        <v>33</v>
      </c>
      <c r="D53" s="1" t="s">
        <v>60</v>
      </c>
      <c r="E53" s="4">
        <v>70470</v>
      </c>
      <c r="F53" s="2">
        <v>42694</v>
      </c>
      <c r="G53">
        <v>3</v>
      </c>
      <c r="H53" s="1" t="s">
        <v>27</v>
      </c>
      <c r="I53" s="1" t="s">
        <v>181</v>
      </c>
      <c r="J53" t="s">
        <v>256</v>
      </c>
      <c r="K53" s="1">
        <f>IF(G53=5,E53*20%,IF(G53=4,E53*15%,IF(G53=3,E53*10%,IF(G53=2,E53*5%,))))</f>
        <v>7047</v>
      </c>
      <c r="L53" s="4">
        <f>E53+K53</f>
        <v>77517</v>
      </c>
      <c r="M53" s="1">
        <f>YEAR(Sheet1[[#This Row],[Date of Joining]])</f>
        <v>2016</v>
      </c>
      <c r="N53" s="1">
        <f>MONTH(Sheet1[[#This Row],[Date of Joining]])</f>
        <v>11</v>
      </c>
      <c r="O53" s="1">
        <f ca="1">DATEDIF(F53,TODAY(),"Y")</f>
        <v>9</v>
      </c>
      <c r="P53" s="14">
        <f ca="1">NOW()</f>
        <v>46155.728605324075</v>
      </c>
    </row>
    <row r="54" spans="1:16" x14ac:dyDescent="0.25">
      <c r="A54" s="1" t="s">
        <v>212</v>
      </c>
      <c r="B54" s="1" t="s">
        <v>57</v>
      </c>
      <c r="C54" s="1" t="s">
        <v>38</v>
      </c>
      <c r="D54" s="1" t="s">
        <v>17</v>
      </c>
      <c r="E54" s="4">
        <v>71494</v>
      </c>
      <c r="F54" s="2">
        <v>42890</v>
      </c>
      <c r="G54">
        <v>3</v>
      </c>
      <c r="H54" s="1" t="s">
        <v>27</v>
      </c>
      <c r="I54" s="1" t="s">
        <v>213</v>
      </c>
      <c r="J54" t="s">
        <v>256</v>
      </c>
      <c r="K54" s="1">
        <f>IF(G54=5,E54*20%,IF(G54=4,E54*15%,IF(G54=3,E54*10%,IF(G54=2,E54*5%,))))</f>
        <v>7149.4000000000005</v>
      </c>
      <c r="L54" s="4">
        <f>E54+K54</f>
        <v>78643.399999999994</v>
      </c>
      <c r="M54" s="1">
        <f>YEAR(Sheet1[[#This Row],[Date of Joining]])</f>
        <v>2017</v>
      </c>
      <c r="N54" s="1">
        <f>MONTH(Sheet1[[#This Row],[Date of Joining]])</f>
        <v>6</v>
      </c>
      <c r="O54" s="1">
        <f ca="1">DATEDIF(F54,TODAY(),"Y")</f>
        <v>8</v>
      </c>
      <c r="P54" s="14">
        <f ca="1">NOW()</f>
        <v>46155.728605324075</v>
      </c>
    </row>
    <row r="55" spans="1:16" x14ac:dyDescent="0.25">
      <c r="A55" s="1" t="s">
        <v>132</v>
      </c>
      <c r="B55" s="1" t="s">
        <v>10</v>
      </c>
      <c r="C55" s="1" t="s">
        <v>38</v>
      </c>
      <c r="D55" s="1" t="s">
        <v>17</v>
      </c>
      <c r="E55" s="4">
        <v>66280</v>
      </c>
      <c r="F55" s="2">
        <v>42589</v>
      </c>
      <c r="G55">
        <v>5</v>
      </c>
      <c r="H55" s="1" t="s">
        <v>10</v>
      </c>
      <c r="I55" s="1" t="s">
        <v>133</v>
      </c>
      <c r="J55" t="s">
        <v>257</v>
      </c>
      <c r="K55" s="1">
        <f>IF(G55=5,E55*20%,IF(G55=4,E55*15%,IF(G55=3,E55*10%,IF(G55=2,E55*5%,))))</f>
        <v>13256</v>
      </c>
      <c r="L55" s="4">
        <f>E55+K55</f>
        <v>79536</v>
      </c>
      <c r="M55" s="1">
        <f>YEAR(Sheet1[[#This Row],[Date of Joining]])</f>
        <v>2016</v>
      </c>
      <c r="N55" s="1">
        <f>MONTH(Sheet1[[#This Row],[Date of Joining]])</f>
        <v>8</v>
      </c>
      <c r="O55" s="1">
        <f ca="1">DATEDIF(F55,TODAY(),"Y")</f>
        <v>9</v>
      </c>
      <c r="P55" s="14">
        <f ca="1">NOW()</f>
        <v>46155.728605324075</v>
      </c>
    </row>
    <row r="56" spans="1:16" x14ac:dyDescent="0.25">
      <c r="A56" s="1" t="s">
        <v>202</v>
      </c>
      <c r="B56" s="1" t="s">
        <v>10</v>
      </c>
      <c r="C56" s="1" t="s">
        <v>33</v>
      </c>
      <c r="D56" s="1" t="s">
        <v>26</v>
      </c>
      <c r="E56" s="4">
        <v>66280</v>
      </c>
      <c r="F56" s="2">
        <v>42589</v>
      </c>
      <c r="G56">
        <v>5</v>
      </c>
      <c r="H56" s="1" t="s">
        <v>10</v>
      </c>
      <c r="I56" s="1" t="s">
        <v>203</v>
      </c>
      <c r="J56" t="s">
        <v>257</v>
      </c>
      <c r="K56" s="1">
        <f>IF(G56=5,E56*20%,IF(G56=4,E56*15%,IF(G56=3,E56*10%,IF(G56=2,E56*5%,))))</f>
        <v>13256</v>
      </c>
      <c r="L56" s="4">
        <f>E56+K56</f>
        <v>79536</v>
      </c>
      <c r="M56" s="1">
        <f>YEAR(Sheet1[[#This Row],[Date of Joining]])</f>
        <v>2016</v>
      </c>
      <c r="N56" s="1">
        <f>MONTH(Sheet1[[#This Row],[Date of Joining]])</f>
        <v>8</v>
      </c>
      <c r="O56" s="1">
        <f ca="1">DATEDIF(F56,TODAY(),"Y")</f>
        <v>9</v>
      </c>
      <c r="P56" s="14">
        <f ca="1">NOW()</f>
        <v>46155.728605324075</v>
      </c>
    </row>
    <row r="57" spans="1:16" x14ac:dyDescent="0.25">
      <c r="A57" s="1" t="s">
        <v>176</v>
      </c>
      <c r="B57" s="1" t="s">
        <v>30</v>
      </c>
      <c r="C57" s="1" t="s">
        <v>11</v>
      </c>
      <c r="D57" s="1" t="s">
        <v>26</v>
      </c>
      <c r="E57" s="4">
        <v>72939</v>
      </c>
      <c r="F57" s="2">
        <v>42680</v>
      </c>
      <c r="G57">
        <v>3</v>
      </c>
      <c r="H57" s="1" t="s">
        <v>10</v>
      </c>
      <c r="I57" s="1" t="s">
        <v>177</v>
      </c>
      <c r="J57" t="s">
        <v>256</v>
      </c>
      <c r="K57" s="1">
        <f>IF(G57=5,E57*20%,IF(G57=4,E57*15%,IF(G57=3,E57*10%,IF(G57=2,E57*5%,))))</f>
        <v>7293.9000000000005</v>
      </c>
      <c r="L57" s="4">
        <f>E57+K57</f>
        <v>80232.899999999994</v>
      </c>
      <c r="M57" s="1">
        <f>YEAR(Sheet1[[#This Row],[Date of Joining]])</f>
        <v>2016</v>
      </c>
      <c r="N57" s="1">
        <f>MONTH(Sheet1[[#This Row],[Date of Joining]])</f>
        <v>11</v>
      </c>
      <c r="O57" s="1">
        <f ca="1">DATEDIF(F57,TODAY(),"Y")</f>
        <v>9</v>
      </c>
      <c r="P57" s="14">
        <f ca="1">NOW()</f>
        <v>46155.728605324075</v>
      </c>
    </row>
    <row r="58" spans="1:16" x14ac:dyDescent="0.25">
      <c r="A58" s="1" t="s">
        <v>78</v>
      </c>
      <c r="B58" s="1" t="s">
        <v>15</v>
      </c>
      <c r="C58" s="1" t="s">
        <v>25</v>
      </c>
      <c r="D58" s="1" t="s">
        <v>17</v>
      </c>
      <c r="E58" s="4">
        <v>76518</v>
      </c>
      <c r="F58" s="2">
        <v>42190</v>
      </c>
      <c r="G58">
        <v>2</v>
      </c>
      <c r="H58" s="1" t="s">
        <v>34</v>
      </c>
      <c r="I58" s="1" t="s">
        <v>79</v>
      </c>
      <c r="J58" t="s">
        <v>254</v>
      </c>
      <c r="K58" s="1">
        <f>IF(G58=5,E58*20%,IF(G58=4,E58*15%,IF(G58=3,E58*10%,IF(G58=2,E58*5%,))))</f>
        <v>3825.9</v>
      </c>
      <c r="L58" s="4">
        <f>E58+K58</f>
        <v>80343.899999999994</v>
      </c>
      <c r="M58" s="1">
        <f>YEAR(Sheet1[[#This Row],[Date of Joining]])</f>
        <v>2015</v>
      </c>
      <c r="N58" s="1">
        <f>MONTH(Sheet1[[#This Row],[Date of Joining]])</f>
        <v>7</v>
      </c>
      <c r="O58" s="1">
        <f ca="1">DATEDIF(F58,TODAY(),"Y")</f>
        <v>10</v>
      </c>
      <c r="P58" s="14">
        <f ca="1">NOW()</f>
        <v>46155.728605324075</v>
      </c>
    </row>
    <row r="59" spans="1:16" x14ac:dyDescent="0.25">
      <c r="A59" s="1" t="s">
        <v>182</v>
      </c>
      <c r="B59" s="1" t="s">
        <v>15</v>
      </c>
      <c r="C59" s="1" t="s">
        <v>38</v>
      </c>
      <c r="D59" s="1" t="s">
        <v>26</v>
      </c>
      <c r="E59" s="4">
        <v>70096</v>
      </c>
      <c r="F59" s="2">
        <v>42701</v>
      </c>
      <c r="G59">
        <v>4</v>
      </c>
      <c r="H59" s="1" t="s">
        <v>27</v>
      </c>
      <c r="I59" s="1" t="s">
        <v>183</v>
      </c>
      <c r="J59" t="s">
        <v>258</v>
      </c>
      <c r="K59" s="1">
        <f>IF(G59=5,E59*20%,IF(G59=4,E59*15%,IF(G59=3,E59*10%,IF(G59=2,E59*5%,))))</f>
        <v>10514.4</v>
      </c>
      <c r="L59" s="4">
        <f>E59+K59</f>
        <v>80610.399999999994</v>
      </c>
      <c r="M59" s="1">
        <f>YEAR(Sheet1[[#This Row],[Date of Joining]])</f>
        <v>2016</v>
      </c>
      <c r="N59" s="1">
        <f>MONTH(Sheet1[[#This Row],[Date of Joining]])</f>
        <v>11</v>
      </c>
      <c r="O59" s="1">
        <f ca="1">DATEDIF(F59,TODAY(),"Y")</f>
        <v>9</v>
      </c>
      <c r="P59" s="14">
        <f ca="1">NOW()</f>
        <v>46155.728605324075</v>
      </c>
    </row>
    <row r="60" spans="1:16" x14ac:dyDescent="0.25">
      <c r="A60" s="1" t="s">
        <v>62</v>
      </c>
      <c r="B60" s="1" t="s">
        <v>21</v>
      </c>
      <c r="C60" s="1" t="s">
        <v>11</v>
      </c>
      <c r="D60" s="1" t="s">
        <v>43</v>
      </c>
      <c r="E60" s="4">
        <v>73602</v>
      </c>
      <c r="F60" s="2">
        <v>42134</v>
      </c>
      <c r="G60">
        <v>3</v>
      </c>
      <c r="H60" s="1" t="s">
        <v>10</v>
      </c>
      <c r="I60" s="1" t="s">
        <v>63</v>
      </c>
      <c r="J60" t="s">
        <v>256</v>
      </c>
      <c r="K60" s="1">
        <f>IF(G60=5,E60*20%,IF(G60=4,E60*15%,IF(G60=3,E60*10%,IF(G60=2,E60*5%,))))</f>
        <v>7360.2000000000007</v>
      </c>
      <c r="L60" s="4">
        <f>E60+K60</f>
        <v>80962.2</v>
      </c>
      <c r="M60" s="1">
        <f>YEAR(Sheet1[[#This Row],[Date of Joining]])</f>
        <v>2015</v>
      </c>
      <c r="N60" s="1">
        <f>MONTH(Sheet1[[#This Row],[Date of Joining]])</f>
        <v>5</v>
      </c>
      <c r="O60" s="1">
        <f ca="1">DATEDIF(F60,TODAY(),"Y")</f>
        <v>11</v>
      </c>
      <c r="P60" s="14">
        <f ca="1">NOW()</f>
        <v>46155.728605324075</v>
      </c>
    </row>
    <row r="61" spans="1:16" x14ac:dyDescent="0.25">
      <c r="A61" s="1" t="s">
        <v>64</v>
      </c>
      <c r="B61" s="1" t="s">
        <v>15</v>
      </c>
      <c r="C61" s="1" t="s">
        <v>38</v>
      </c>
      <c r="D61" s="1" t="s">
        <v>12</v>
      </c>
      <c r="E61" s="4">
        <v>67531</v>
      </c>
      <c r="F61" s="2">
        <v>42141</v>
      </c>
      <c r="G61">
        <v>5</v>
      </c>
      <c r="H61" s="1" t="s">
        <v>34</v>
      </c>
      <c r="I61" s="1" t="s">
        <v>65</v>
      </c>
      <c r="J61" t="s">
        <v>257</v>
      </c>
      <c r="K61" s="1">
        <f>IF(G61=5,E61*20%,IF(G61=4,E61*15%,IF(G61=3,E61*10%,IF(G61=2,E61*5%,))))</f>
        <v>13506.2</v>
      </c>
      <c r="L61" s="4">
        <f>E61+K61</f>
        <v>81037.2</v>
      </c>
      <c r="M61" s="1">
        <f>YEAR(Sheet1[[#This Row],[Date of Joining]])</f>
        <v>2015</v>
      </c>
      <c r="N61" s="1">
        <f>MONTH(Sheet1[[#This Row],[Date of Joining]])</f>
        <v>5</v>
      </c>
      <c r="O61" s="1">
        <f ca="1">DATEDIF(F61,TODAY(),"Y")</f>
        <v>10</v>
      </c>
      <c r="P61" s="14">
        <f ca="1">NOW()</f>
        <v>46155.728605324075</v>
      </c>
    </row>
    <row r="62" spans="1:16" x14ac:dyDescent="0.25">
      <c r="A62" s="1" t="s">
        <v>112</v>
      </c>
      <c r="B62" s="1" t="s">
        <v>37</v>
      </c>
      <c r="C62" s="1" t="s">
        <v>11</v>
      </c>
      <c r="D62" s="1" t="s">
        <v>12</v>
      </c>
      <c r="E62" s="4">
        <v>81610</v>
      </c>
      <c r="F62" s="2">
        <v>42316</v>
      </c>
      <c r="G62">
        <v>1</v>
      </c>
      <c r="H62" s="1" t="s">
        <v>10</v>
      </c>
      <c r="I62" s="1" t="s">
        <v>113</v>
      </c>
      <c r="J62" t="s">
        <v>255</v>
      </c>
      <c r="K62" s="1">
        <f>IF(G62=5,E62*20%,IF(G62=4,E62*15%,IF(G62=3,E62*10%,IF(G62=2,E62*5%,))))</f>
        <v>0</v>
      </c>
      <c r="L62" s="4">
        <f>E62+K62</f>
        <v>81610</v>
      </c>
      <c r="M62" s="1">
        <f>YEAR(Sheet1[[#This Row],[Date of Joining]])</f>
        <v>2015</v>
      </c>
      <c r="N62" s="1">
        <f>MONTH(Sheet1[[#This Row],[Date of Joining]])</f>
        <v>11</v>
      </c>
      <c r="O62" s="1">
        <f ca="1">DATEDIF(F62,TODAY(),"Y")</f>
        <v>10</v>
      </c>
      <c r="P62" s="14">
        <f ca="1">NOW()</f>
        <v>46155.728605324075</v>
      </c>
    </row>
    <row r="63" spans="1:16" x14ac:dyDescent="0.25">
      <c r="A63" s="1" t="s">
        <v>154</v>
      </c>
      <c r="B63" s="1" t="s">
        <v>46</v>
      </c>
      <c r="C63" s="1" t="s">
        <v>38</v>
      </c>
      <c r="D63" s="1" t="s">
        <v>43</v>
      </c>
      <c r="E63" s="4">
        <v>78245</v>
      </c>
      <c r="F63" s="2">
        <v>42554</v>
      </c>
      <c r="G63">
        <v>2</v>
      </c>
      <c r="H63" s="1" t="s">
        <v>10</v>
      </c>
      <c r="I63" s="1" t="s">
        <v>155</v>
      </c>
      <c r="J63" t="s">
        <v>254</v>
      </c>
      <c r="K63" s="1">
        <f>IF(G63=5,E63*20%,IF(G63=4,E63*15%,IF(G63=3,E63*10%,IF(G63=2,E63*5%,))))</f>
        <v>3912.25</v>
      </c>
      <c r="L63" s="4">
        <f>E63+K63</f>
        <v>82157.25</v>
      </c>
      <c r="M63" s="1">
        <f>YEAR(Sheet1[[#This Row],[Date of Joining]])</f>
        <v>2016</v>
      </c>
      <c r="N63" s="1">
        <f>MONTH(Sheet1[[#This Row],[Date of Joining]])</f>
        <v>7</v>
      </c>
      <c r="O63" s="1">
        <f ca="1">DATEDIF(F63,TODAY(),"Y")</f>
        <v>9</v>
      </c>
      <c r="P63" s="14">
        <f ca="1">NOW()</f>
        <v>46155.728605324075</v>
      </c>
    </row>
    <row r="64" spans="1:16" x14ac:dyDescent="0.25">
      <c r="A64" s="1" t="s">
        <v>32</v>
      </c>
      <c r="B64" s="1" t="s">
        <v>21</v>
      </c>
      <c r="C64" s="1" t="s">
        <v>33</v>
      </c>
      <c r="D64" s="1" t="s">
        <v>12</v>
      </c>
      <c r="E64" s="4">
        <v>78421</v>
      </c>
      <c r="F64" s="2">
        <v>42043</v>
      </c>
      <c r="G64">
        <v>2</v>
      </c>
      <c r="H64" s="1" t="s">
        <v>34</v>
      </c>
      <c r="I64" s="1" t="s">
        <v>35</v>
      </c>
      <c r="J64" t="s">
        <v>254</v>
      </c>
      <c r="K64" s="1">
        <f>IF(G64=5,E64*20%,IF(G64=4,E64*15%,IF(G64=3,E64*10%,IF(G64=2,E64*5%,))))</f>
        <v>3921.05</v>
      </c>
      <c r="L64" s="4">
        <f>E64+K64</f>
        <v>82342.05</v>
      </c>
      <c r="M64" s="1">
        <f>YEAR(Sheet1[[#This Row],[Date of Joining]])</f>
        <v>2015</v>
      </c>
      <c r="N64" s="1">
        <f>MONTH(Sheet1[[#This Row],[Date of Joining]])</f>
        <v>2</v>
      </c>
      <c r="O64" s="1">
        <f ca="1">DATEDIF(F64,TODAY(),"Y")</f>
        <v>11</v>
      </c>
      <c r="P64" s="14">
        <f ca="1">NOW()</f>
        <v>46155.728605324075</v>
      </c>
    </row>
    <row r="65" spans="1:16" x14ac:dyDescent="0.25">
      <c r="A65" s="1" t="s">
        <v>138</v>
      </c>
      <c r="B65" s="1" t="s">
        <v>24</v>
      </c>
      <c r="C65" s="1" t="s">
        <v>33</v>
      </c>
      <c r="D65" s="1" t="s">
        <v>12</v>
      </c>
      <c r="E65" s="4">
        <v>84737</v>
      </c>
      <c r="F65" s="2">
        <v>42456</v>
      </c>
      <c r="G65">
        <v>1</v>
      </c>
      <c r="H65" s="1" t="s">
        <v>27</v>
      </c>
      <c r="I65" s="1" t="s">
        <v>139</v>
      </c>
      <c r="J65" t="s">
        <v>255</v>
      </c>
      <c r="K65" s="1">
        <f>IF(G65=5,E65*20%,IF(G65=4,E65*15%,IF(G65=3,E65*10%,IF(G65=2,E65*5%,))))</f>
        <v>0</v>
      </c>
      <c r="L65" s="4">
        <f>E65+K65</f>
        <v>84737</v>
      </c>
      <c r="M65" s="1">
        <f>YEAR(Sheet1[[#This Row],[Date of Joining]])</f>
        <v>2016</v>
      </c>
      <c r="N65" s="1">
        <f>MONTH(Sheet1[[#This Row],[Date of Joining]])</f>
        <v>3</v>
      </c>
      <c r="O65" s="1">
        <f ca="1">DATEDIF(F65,TODAY(),"Y")</f>
        <v>10</v>
      </c>
      <c r="P65" s="14">
        <f ca="1">NOW()</f>
        <v>46155.728605324075</v>
      </c>
    </row>
    <row r="66" spans="1:16" x14ac:dyDescent="0.25">
      <c r="A66" s="1" t="s">
        <v>94</v>
      </c>
      <c r="B66" s="1" t="s">
        <v>24</v>
      </c>
      <c r="C66" s="1" t="s">
        <v>25</v>
      </c>
      <c r="D66" s="1" t="s">
        <v>60</v>
      </c>
      <c r="E66" s="4">
        <v>79549</v>
      </c>
      <c r="F66" s="2">
        <v>42246</v>
      </c>
      <c r="G66">
        <v>3</v>
      </c>
      <c r="H66" s="1" t="s">
        <v>10</v>
      </c>
      <c r="I66" s="1" t="s">
        <v>95</v>
      </c>
      <c r="J66" t="s">
        <v>256</v>
      </c>
      <c r="K66" s="1">
        <f>IF(G66=5,E66*20%,IF(G66=4,E66*15%,IF(G66=3,E66*10%,IF(G66=2,E66*5%,))))</f>
        <v>7954.9000000000005</v>
      </c>
      <c r="L66" s="4">
        <f>E66+K66</f>
        <v>87503.9</v>
      </c>
      <c r="M66" s="1">
        <f>YEAR(Sheet1[[#This Row],[Date of Joining]])</f>
        <v>2015</v>
      </c>
      <c r="N66" s="1">
        <f>MONTH(Sheet1[[#This Row],[Date of Joining]])</f>
        <v>8</v>
      </c>
      <c r="O66" s="1">
        <f ca="1">DATEDIF(F66,TODAY(),"Y")</f>
        <v>10</v>
      </c>
      <c r="P66" s="14">
        <f ca="1">NOW()</f>
        <v>46155.728605324075</v>
      </c>
    </row>
    <row r="67" spans="1:16" x14ac:dyDescent="0.25">
      <c r="A67" s="1" t="s">
        <v>170</v>
      </c>
      <c r="B67" s="1" t="s">
        <v>21</v>
      </c>
      <c r="C67" s="1" t="s">
        <v>38</v>
      </c>
      <c r="D67" s="1" t="s">
        <v>26</v>
      </c>
      <c r="E67" s="4">
        <v>76238</v>
      </c>
      <c r="F67" s="2">
        <v>42659</v>
      </c>
      <c r="G67">
        <v>4</v>
      </c>
      <c r="H67" s="1" t="s">
        <v>27</v>
      </c>
      <c r="I67" s="1" t="s">
        <v>171</v>
      </c>
      <c r="J67" t="s">
        <v>258</v>
      </c>
      <c r="K67" s="1">
        <f>IF(G67=5,E67*20%,IF(G67=4,E67*15%,IF(G67=3,E67*10%,IF(G67=2,E67*5%,))))</f>
        <v>11435.699999999999</v>
      </c>
      <c r="L67" s="4">
        <f>E67+K67</f>
        <v>87673.7</v>
      </c>
      <c r="M67" s="1">
        <f>YEAR(Sheet1[[#This Row],[Date of Joining]])</f>
        <v>2016</v>
      </c>
      <c r="N67" s="1">
        <f>MONTH(Sheet1[[#This Row],[Date of Joining]])</f>
        <v>10</v>
      </c>
      <c r="O67" s="1">
        <f ca="1">DATEDIF(F67,TODAY(),"Y")</f>
        <v>9</v>
      </c>
      <c r="P67" s="14">
        <f ca="1">NOW()</f>
        <v>46155.728605324075</v>
      </c>
    </row>
    <row r="68" spans="1:16" x14ac:dyDescent="0.25">
      <c r="A68" s="1" t="s">
        <v>192</v>
      </c>
      <c r="B68" s="1" t="s">
        <v>30</v>
      </c>
      <c r="C68" s="1" t="s">
        <v>38</v>
      </c>
      <c r="D68" s="1" t="s">
        <v>12</v>
      </c>
      <c r="E68" s="4">
        <v>88850</v>
      </c>
      <c r="F68" s="2">
        <v>42771</v>
      </c>
      <c r="G68">
        <v>1</v>
      </c>
      <c r="H68" s="1" t="s">
        <v>34</v>
      </c>
      <c r="I68" s="1" t="s">
        <v>193</v>
      </c>
      <c r="J68" t="s">
        <v>255</v>
      </c>
      <c r="K68" s="1">
        <f>IF(G68=5,E68*20%,IF(G68=4,E68*15%,IF(G68=3,E68*10%,IF(G68=2,E68*5%,))))</f>
        <v>0</v>
      </c>
      <c r="L68" s="4">
        <f>E68+K68</f>
        <v>88850</v>
      </c>
      <c r="M68" s="1">
        <f>YEAR(Sheet1[[#This Row],[Date of Joining]])</f>
        <v>2017</v>
      </c>
      <c r="N68" s="1">
        <f>MONTH(Sheet1[[#This Row],[Date of Joining]])</f>
        <v>2</v>
      </c>
      <c r="O68" s="1">
        <f ca="1">DATEDIF(F68,TODAY(),"Y")</f>
        <v>9</v>
      </c>
      <c r="P68" s="14">
        <f ca="1">NOW()</f>
        <v>46155.728605324075</v>
      </c>
    </row>
    <row r="69" spans="1:16" x14ac:dyDescent="0.25">
      <c r="A69" s="1" t="s">
        <v>178</v>
      </c>
      <c r="B69" s="1" t="s">
        <v>46</v>
      </c>
      <c r="C69" s="1" t="s">
        <v>16</v>
      </c>
      <c r="D69" s="1" t="s">
        <v>17</v>
      </c>
      <c r="E69" s="4">
        <v>89333</v>
      </c>
      <c r="F69" s="2">
        <v>42687</v>
      </c>
      <c r="G69">
        <v>1</v>
      </c>
      <c r="H69" s="1" t="s">
        <v>27</v>
      </c>
      <c r="I69" s="1" t="s">
        <v>179</v>
      </c>
      <c r="J69" t="s">
        <v>255</v>
      </c>
      <c r="K69" s="1">
        <f>IF(G69=5,E69*20%,IF(G69=4,E69*15%,IF(G69=3,E69*10%,IF(G69=2,E69*5%,))))</f>
        <v>0</v>
      </c>
      <c r="L69" s="4">
        <f>E69+K69</f>
        <v>89333</v>
      </c>
      <c r="M69" s="1">
        <f>YEAR(Sheet1[[#This Row],[Date of Joining]])</f>
        <v>2016</v>
      </c>
      <c r="N69" s="1">
        <f>MONTH(Sheet1[[#This Row],[Date of Joining]])</f>
        <v>11</v>
      </c>
      <c r="O69" s="1">
        <f ca="1">DATEDIF(F69,TODAY(),"Y")</f>
        <v>9</v>
      </c>
      <c r="P69" s="14">
        <f ca="1">NOW()</f>
        <v>46155.728605324075</v>
      </c>
    </row>
    <row r="70" spans="1:16" x14ac:dyDescent="0.25">
      <c r="A70" s="1" t="s">
        <v>126</v>
      </c>
      <c r="B70" s="1" t="s">
        <v>37</v>
      </c>
      <c r="C70" s="1" t="s">
        <v>38</v>
      </c>
      <c r="D70" s="1" t="s">
        <v>26</v>
      </c>
      <c r="E70" s="4">
        <v>74815</v>
      </c>
      <c r="F70" s="2">
        <v>42393</v>
      </c>
      <c r="G70">
        <v>5</v>
      </c>
      <c r="H70" s="1" t="s">
        <v>34</v>
      </c>
      <c r="I70" s="1" t="s">
        <v>127</v>
      </c>
      <c r="J70" t="s">
        <v>257</v>
      </c>
      <c r="K70" s="1">
        <f>IF(G70=5,E70*20%,IF(G70=4,E70*15%,IF(G70=3,E70*10%,IF(G70=2,E70*5%,))))</f>
        <v>14963</v>
      </c>
      <c r="L70" s="4">
        <f>E70+K70</f>
        <v>89778</v>
      </c>
      <c r="M70" s="1">
        <f>YEAR(Sheet1[[#This Row],[Date of Joining]])</f>
        <v>2016</v>
      </c>
      <c r="N70" s="1">
        <f>MONTH(Sheet1[[#This Row],[Date of Joining]])</f>
        <v>1</v>
      </c>
      <c r="O70" s="1">
        <f ca="1">DATEDIF(F70,TODAY(),"Y")</f>
        <v>10</v>
      </c>
      <c r="P70" s="14">
        <f ca="1">NOW()</f>
        <v>46155.728605324075</v>
      </c>
    </row>
    <row r="71" spans="1:16" x14ac:dyDescent="0.25">
      <c r="A71" s="1" t="s">
        <v>124</v>
      </c>
      <c r="B71" s="1" t="s">
        <v>57</v>
      </c>
      <c r="C71" s="1" t="s">
        <v>38</v>
      </c>
      <c r="D71" s="1" t="s">
        <v>43</v>
      </c>
      <c r="E71" s="4">
        <v>75633</v>
      </c>
      <c r="F71" s="2">
        <v>42386</v>
      </c>
      <c r="G71">
        <v>5</v>
      </c>
      <c r="H71" s="1" t="s">
        <v>18</v>
      </c>
      <c r="I71" s="1" t="s">
        <v>125</v>
      </c>
      <c r="J71" t="s">
        <v>257</v>
      </c>
      <c r="K71" s="1">
        <f>IF(G71=5,E71*20%,IF(G71=4,E71*15%,IF(G71=3,E71*10%,IF(G71=2,E71*5%,))))</f>
        <v>15126.6</v>
      </c>
      <c r="L71" s="4">
        <f>E71+K71</f>
        <v>90759.6</v>
      </c>
      <c r="M71" s="1">
        <f>YEAR(Sheet1[[#This Row],[Date of Joining]])</f>
        <v>2016</v>
      </c>
      <c r="N71" s="1">
        <f>MONTH(Sheet1[[#This Row],[Date of Joining]])</f>
        <v>1</v>
      </c>
      <c r="O71" s="1">
        <f ca="1">DATEDIF(F71,TODAY(),"Y")</f>
        <v>10</v>
      </c>
      <c r="P71" s="14">
        <f ca="1">NOW()</f>
        <v>46155.728605324075</v>
      </c>
    </row>
    <row r="72" spans="1:16" x14ac:dyDescent="0.25">
      <c r="A72" s="1" t="s">
        <v>74</v>
      </c>
      <c r="B72" s="1" t="s">
        <v>46</v>
      </c>
      <c r="C72" s="1" t="s">
        <v>11</v>
      </c>
      <c r="D72" s="1" t="s">
        <v>12</v>
      </c>
      <c r="E72" s="4">
        <v>91005</v>
      </c>
      <c r="F72" s="2">
        <v>42176</v>
      </c>
      <c r="G72">
        <v>1</v>
      </c>
      <c r="H72" s="1" t="s">
        <v>18</v>
      </c>
      <c r="I72" s="1" t="s">
        <v>75</v>
      </c>
      <c r="J72" t="s">
        <v>255</v>
      </c>
      <c r="K72" s="1">
        <f>IF(G72=5,E72*20%,IF(G72=4,E72*15%,IF(G72=3,E72*10%,IF(G72=2,E72*5%,))))</f>
        <v>0</v>
      </c>
      <c r="L72" s="4">
        <f>E72+K72</f>
        <v>91005</v>
      </c>
      <c r="M72" s="1">
        <f>YEAR(Sheet1[[#This Row],[Date of Joining]])</f>
        <v>2015</v>
      </c>
      <c r="N72" s="1">
        <f>MONTH(Sheet1[[#This Row],[Date of Joining]])</f>
        <v>6</v>
      </c>
      <c r="O72" s="1">
        <f ca="1">DATEDIF(F72,TODAY(),"Y")</f>
        <v>10</v>
      </c>
      <c r="P72" s="14">
        <f ca="1">NOW()</f>
        <v>46155.728605324075</v>
      </c>
    </row>
    <row r="73" spans="1:16" x14ac:dyDescent="0.25">
      <c r="A73" s="1" t="s">
        <v>86</v>
      </c>
      <c r="B73" s="1" t="s">
        <v>10</v>
      </c>
      <c r="C73" s="1" t="s">
        <v>38</v>
      </c>
      <c r="D73" s="1" t="s">
        <v>12</v>
      </c>
      <c r="E73" s="4">
        <v>92259</v>
      </c>
      <c r="F73" s="2">
        <v>42589</v>
      </c>
      <c r="G73">
        <v>1</v>
      </c>
      <c r="H73" s="1" t="s">
        <v>10</v>
      </c>
      <c r="I73" s="1" t="s">
        <v>87</v>
      </c>
      <c r="J73" t="s">
        <v>255</v>
      </c>
      <c r="K73" s="1">
        <f>IF(G73=5,E73*20%,IF(G73=4,E73*15%,IF(G73=3,E73*10%,IF(G73=2,E73*5%,))))</f>
        <v>0</v>
      </c>
      <c r="L73" s="4">
        <f>E73+K73</f>
        <v>92259</v>
      </c>
      <c r="M73" s="1">
        <f>YEAR(Sheet1[[#This Row],[Date of Joining]])</f>
        <v>2016</v>
      </c>
      <c r="N73" s="1">
        <f>MONTH(Sheet1[[#This Row],[Date of Joining]])</f>
        <v>8</v>
      </c>
      <c r="O73" s="1">
        <f ca="1">DATEDIF(F73,TODAY(),"Y")</f>
        <v>9</v>
      </c>
      <c r="P73" s="14">
        <f ca="1">NOW()</f>
        <v>46155.728605324075</v>
      </c>
    </row>
    <row r="74" spans="1:16" x14ac:dyDescent="0.25">
      <c r="A74" s="1" t="s">
        <v>218</v>
      </c>
      <c r="B74" s="1" t="s">
        <v>37</v>
      </c>
      <c r="C74" s="1" t="s">
        <v>16</v>
      </c>
      <c r="D74" s="1" t="s">
        <v>17</v>
      </c>
      <c r="E74" s="4">
        <v>84968</v>
      </c>
      <c r="F74" s="2">
        <v>42967</v>
      </c>
      <c r="G74">
        <v>3</v>
      </c>
      <c r="H74" s="1" t="s">
        <v>10</v>
      </c>
      <c r="I74" s="1" t="s">
        <v>219</v>
      </c>
      <c r="J74" t="s">
        <v>256</v>
      </c>
      <c r="K74" s="1">
        <f>IF(G74=5,E74*20%,IF(G74=4,E74*15%,IF(G74=3,E74*10%,IF(G74=2,E74*5%,))))</f>
        <v>8496.8000000000011</v>
      </c>
      <c r="L74" s="4">
        <f>E74+K74</f>
        <v>93464.8</v>
      </c>
      <c r="M74" s="1">
        <f>YEAR(Sheet1[[#This Row],[Date of Joining]])</f>
        <v>2017</v>
      </c>
      <c r="N74" s="1">
        <f>MONTH(Sheet1[[#This Row],[Date of Joining]])</f>
        <v>8</v>
      </c>
      <c r="O74" s="1">
        <f ca="1">DATEDIF(F74,TODAY(),"Y")</f>
        <v>8</v>
      </c>
      <c r="P74" s="14">
        <f ca="1">NOW()</f>
        <v>46155.728605324075</v>
      </c>
    </row>
    <row r="75" spans="1:16" x14ac:dyDescent="0.25">
      <c r="A75" s="1" t="s">
        <v>148</v>
      </c>
      <c r="B75" s="1" t="s">
        <v>15</v>
      </c>
      <c r="C75" s="1" t="s">
        <v>38</v>
      </c>
      <c r="D75" s="1" t="s">
        <v>26</v>
      </c>
      <c r="E75" s="4">
        <v>85065</v>
      </c>
      <c r="F75" s="2">
        <v>42505</v>
      </c>
      <c r="G75">
        <v>3</v>
      </c>
      <c r="H75" s="1" t="s">
        <v>10</v>
      </c>
      <c r="I75" s="1" t="s">
        <v>149</v>
      </c>
      <c r="J75" t="s">
        <v>256</v>
      </c>
      <c r="K75" s="1">
        <f>IF(G75=5,E75*20%,IF(G75=4,E75*15%,IF(G75=3,E75*10%,IF(G75=2,E75*5%,))))</f>
        <v>8506.5</v>
      </c>
      <c r="L75" s="4">
        <f>E75+K75</f>
        <v>93571.5</v>
      </c>
      <c r="M75" s="1">
        <f>YEAR(Sheet1[[#This Row],[Date of Joining]])</f>
        <v>2016</v>
      </c>
      <c r="N75" s="1">
        <f>MONTH(Sheet1[[#This Row],[Date of Joining]])</f>
        <v>5</v>
      </c>
      <c r="O75" s="1">
        <f ca="1">DATEDIF(F75,TODAY(),"Y")</f>
        <v>9</v>
      </c>
      <c r="P75" s="14">
        <f ca="1">NOW()</f>
        <v>46155.728605324075</v>
      </c>
    </row>
    <row r="76" spans="1:16" x14ac:dyDescent="0.25">
      <c r="A76" s="1" t="s">
        <v>23</v>
      </c>
      <c r="B76" s="1" t="s">
        <v>24</v>
      </c>
      <c r="C76" s="1" t="s">
        <v>25</v>
      </c>
      <c r="D76" s="1" t="s">
        <v>26</v>
      </c>
      <c r="E76" s="4">
        <v>94406</v>
      </c>
      <c r="F76" s="2">
        <v>42029</v>
      </c>
      <c r="G76">
        <v>1</v>
      </c>
      <c r="H76" s="1" t="s">
        <v>27</v>
      </c>
      <c r="I76" s="1" t="s">
        <v>28</v>
      </c>
      <c r="J76" t="s">
        <v>255</v>
      </c>
      <c r="K76" s="1">
        <f>IF(G76=5,E76*20%,IF(G76=4,E76*15%,IF(G76=3,E76*10%,IF(G76=2,E76*5%,))))</f>
        <v>0</v>
      </c>
      <c r="L76" s="4">
        <f>E76+K76</f>
        <v>94406</v>
      </c>
      <c r="M76" s="1">
        <f>YEAR(Sheet1[[#This Row],[Date of Joining]])</f>
        <v>2015</v>
      </c>
      <c r="N76" s="1">
        <f>MONTH(Sheet1[[#This Row],[Date of Joining]])</f>
        <v>1</v>
      </c>
      <c r="O76" s="1">
        <f ca="1">DATEDIF(F76,TODAY(),"Y")</f>
        <v>11</v>
      </c>
      <c r="P76" s="14">
        <f ca="1">NOW()</f>
        <v>46155.728605324075</v>
      </c>
    </row>
    <row r="77" spans="1:16" x14ac:dyDescent="0.25">
      <c r="A77" s="1" t="s">
        <v>150</v>
      </c>
      <c r="B77" s="1" t="s">
        <v>10</v>
      </c>
      <c r="C77" s="1" t="s">
        <v>25</v>
      </c>
      <c r="D77" s="1" t="s">
        <v>12</v>
      </c>
      <c r="E77" s="4">
        <v>96142</v>
      </c>
      <c r="F77" s="2">
        <v>42533</v>
      </c>
      <c r="G77">
        <v>1</v>
      </c>
      <c r="H77" s="1" t="s">
        <v>18</v>
      </c>
      <c r="I77" s="1" t="s">
        <v>151</v>
      </c>
      <c r="J77" t="s">
        <v>255</v>
      </c>
      <c r="K77" s="1">
        <f>IF(G77=5,E77*20%,IF(G77=4,E77*15%,IF(G77=3,E77*10%,IF(G77=2,E77*5%,))))</f>
        <v>0</v>
      </c>
      <c r="L77" s="4">
        <f>E77+K77</f>
        <v>96142</v>
      </c>
      <c r="M77" s="1">
        <f>YEAR(Sheet1[[#This Row],[Date of Joining]])</f>
        <v>2016</v>
      </c>
      <c r="N77" s="1">
        <f>MONTH(Sheet1[[#This Row],[Date of Joining]])</f>
        <v>6</v>
      </c>
      <c r="O77" s="1">
        <f ca="1">DATEDIF(F77,TODAY(),"Y")</f>
        <v>9</v>
      </c>
      <c r="P77" s="14">
        <f ca="1">NOW()</f>
        <v>46155.728605324075</v>
      </c>
    </row>
    <row r="78" spans="1:16" x14ac:dyDescent="0.25">
      <c r="A78" s="1" t="s">
        <v>96</v>
      </c>
      <c r="B78" s="1" t="s">
        <v>21</v>
      </c>
      <c r="C78" s="1" t="s">
        <v>33</v>
      </c>
      <c r="D78" s="1" t="s">
        <v>26</v>
      </c>
      <c r="E78" s="4">
        <v>89781</v>
      </c>
      <c r="F78" s="2">
        <v>42260</v>
      </c>
      <c r="G78">
        <v>3</v>
      </c>
      <c r="H78" s="1" t="s">
        <v>34</v>
      </c>
      <c r="I78" s="1" t="s">
        <v>97</v>
      </c>
      <c r="J78" t="s">
        <v>256</v>
      </c>
      <c r="K78" s="1">
        <f>IF(G78=5,E78*20%,IF(G78=4,E78*15%,IF(G78=3,E78*10%,IF(G78=2,E78*5%,))))</f>
        <v>8978.1</v>
      </c>
      <c r="L78" s="4">
        <f>E78+K78</f>
        <v>98759.1</v>
      </c>
      <c r="M78" s="1">
        <f>YEAR(Sheet1[[#This Row],[Date of Joining]])</f>
        <v>2015</v>
      </c>
      <c r="N78" s="1">
        <f>MONTH(Sheet1[[#This Row],[Date of Joining]])</f>
        <v>9</v>
      </c>
      <c r="O78" s="1">
        <f ca="1">DATEDIF(F78,TODAY(),"Y")</f>
        <v>10</v>
      </c>
      <c r="P78" s="14">
        <f ca="1">NOW()</f>
        <v>46155.728605324075</v>
      </c>
    </row>
    <row r="79" spans="1:16" x14ac:dyDescent="0.25">
      <c r="A79" s="1" t="s">
        <v>222</v>
      </c>
      <c r="B79" s="1" t="s">
        <v>15</v>
      </c>
      <c r="C79" s="1" t="s">
        <v>38</v>
      </c>
      <c r="D79" s="1" t="s">
        <v>12</v>
      </c>
      <c r="E79" s="4">
        <v>94148</v>
      </c>
      <c r="F79" s="2">
        <v>43016</v>
      </c>
      <c r="G79">
        <v>2</v>
      </c>
      <c r="H79" s="1" t="s">
        <v>10</v>
      </c>
      <c r="I79" s="1" t="s">
        <v>223</v>
      </c>
      <c r="J79" t="s">
        <v>254</v>
      </c>
      <c r="K79" s="1">
        <f>IF(G79=5,E79*20%,IF(G79=4,E79*15%,IF(G79=3,E79*10%,IF(G79=2,E79*5%,))))</f>
        <v>4707.4000000000005</v>
      </c>
      <c r="L79" s="4">
        <f>E79+K79</f>
        <v>98855.4</v>
      </c>
      <c r="M79" s="1">
        <f>YEAR(Sheet1[[#This Row],[Date of Joining]])</f>
        <v>2017</v>
      </c>
      <c r="N79" s="1">
        <f>MONTH(Sheet1[[#This Row],[Date of Joining]])</f>
        <v>10</v>
      </c>
      <c r="O79" s="1">
        <f ca="1">DATEDIF(F79,TODAY(),"Y")</f>
        <v>8</v>
      </c>
      <c r="P79" s="14">
        <f ca="1">NOW()</f>
        <v>46155.728605324075</v>
      </c>
    </row>
    <row r="80" spans="1:16" x14ac:dyDescent="0.25">
      <c r="A80" s="1" t="s">
        <v>56</v>
      </c>
      <c r="B80" s="1" t="s">
        <v>57</v>
      </c>
      <c r="C80" s="1" t="s">
        <v>38</v>
      </c>
      <c r="D80" s="1" t="s">
        <v>17</v>
      </c>
      <c r="E80" s="4">
        <v>90271</v>
      </c>
      <c r="F80" s="2">
        <v>42120</v>
      </c>
      <c r="G80">
        <v>3</v>
      </c>
      <c r="H80" s="1" t="s">
        <v>10</v>
      </c>
      <c r="I80" s="1" t="s">
        <v>58</v>
      </c>
      <c r="J80" t="s">
        <v>256</v>
      </c>
      <c r="K80" s="1">
        <f>IF(G80=5,E80*20%,IF(G80=4,E80*15%,IF(G80=3,E80*10%,IF(G80=2,E80*5%,))))</f>
        <v>9027.1</v>
      </c>
      <c r="L80" s="4">
        <f>E80+K80</f>
        <v>99298.1</v>
      </c>
      <c r="M80" s="1">
        <f>YEAR(Sheet1[[#This Row],[Date of Joining]])</f>
        <v>2015</v>
      </c>
      <c r="N80" s="1">
        <f>MONTH(Sheet1[[#This Row],[Date of Joining]])</f>
        <v>4</v>
      </c>
      <c r="O80" s="1">
        <f ca="1">DATEDIF(F80,TODAY(),"Y")</f>
        <v>11</v>
      </c>
      <c r="P80" s="14">
        <f ca="1">NOW()</f>
        <v>46155.728605324075</v>
      </c>
    </row>
    <row r="81" spans="1:16" x14ac:dyDescent="0.25">
      <c r="A81" s="1" t="s">
        <v>220</v>
      </c>
      <c r="B81" s="1" t="s">
        <v>37</v>
      </c>
      <c r="C81" s="1" t="s">
        <v>25</v>
      </c>
      <c r="D81" s="1" t="s">
        <v>43</v>
      </c>
      <c r="E81" s="4">
        <v>91620</v>
      </c>
      <c r="F81" s="2">
        <v>43009</v>
      </c>
      <c r="G81">
        <v>3</v>
      </c>
      <c r="H81" s="1" t="s">
        <v>10</v>
      </c>
      <c r="I81" s="1" t="s">
        <v>221</v>
      </c>
      <c r="J81" t="s">
        <v>256</v>
      </c>
      <c r="K81" s="1">
        <f>IF(G81=5,E81*20%,IF(G81=4,E81*15%,IF(G81=3,E81*10%,IF(G81=2,E81*5%,))))</f>
        <v>9162</v>
      </c>
      <c r="L81" s="4">
        <f>E81+K81</f>
        <v>100782</v>
      </c>
      <c r="M81" s="1">
        <f>YEAR(Sheet1[[#This Row],[Date of Joining]])</f>
        <v>2017</v>
      </c>
      <c r="N81" s="1">
        <f>MONTH(Sheet1[[#This Row],[Date of Joining]])</f>
        <v>10</v>
      </c>
      <c r="O81" s="1">
        <f ca="1">DATEDIF(F81,TODAY(),"Y")</f>
        <v>8</v>
      </c>
      <c r="P81" s="14">
        <f ca="1">NOW()</f>
        <v>46155.728605324075</v>
      </c>
    </row>
    <row r="82" spans="1:16" x14ac:dyDescent="0.25">
      <c r="A82" s="1" t="s">
        <v>42</v>
      </c>
      <c r="B82" s="1" t="s">
        <v>37</v>
      </c>
      <c r="C82" s="1" t="s">
        <v>16</v>
      </c>
      <c r="D82" s="1" t="s">
        <v>43</v>
      </c>
      <c r="E82" s="4">
        <v>91846</v>
      </c>
      <c r="F82" s="2">
        <v>42071</v>
      </c>
      <c r="G82">
        <v>3</v>
      </c>
      <c r="H82" s="1" t="s">
        <v>27</v>
      </c>
      <c r="I82" s="1" t="s">
        <v>44</v>
      </c>
      <c r="J82" t="s">
        <v>256</v>
      </c>
      <c r="K82" s="1">
        <f>IF(G82=5,E82*20%,IF(G82=4,E82*15%,IF(G82=3,E82*10%,IF(G82=2,E82*5%,))))</f>
        <v>9184.6</v>
      </c>
      <c r="L82" s="4">
        <f>E82+K82</f>
        <v>101030.6</v>
      </c>
      <c r="M82" s="1">
        <f>YEAR(Sheet1[[#This Row],[Date of Joining]])</f>
        <v>2015</v>
      </c>
      <c r="N82" s="1">
        <f>MONTH(Sheet1[[#This Row],[Date of Joining]])</f>
        <v>3</v>
      </c>
      <c r="O82" s="1">
        <f ca="1">DATEDIF(F82,TODAY(),"Y")</f>
        <v>11</v>
      </c>
      <c r="P82" s="14">
        <f ca="1">NOW()</f>
        <v>46155.728605324075</v>
      </c>
    </row>
    <row r="83" spans="1:16" x14ac:dyDescent="0.25">
      <c r="A83" s="1" t="s">
        <v>88</v>
      </c>
      <c r="B83" s="1" t="s">
        <v>15</v>
      </c>
      <c r="C83" s="1" t="s">
        <v>16</v>
      </c>
      <c r="D83" s="1" t="s">
        <v>17</v>
      </c>
      <c r="E83" s="4">
        <v>92299</v>
      </c>
      <c r="F83" s="2">
        <v>42225</v>
      </c>
      <c r="G83">
        <v>3</v>
      </c>
      <c r="H83" s="1" t="s">
        <v>27</v>
      </c>
      <c r="I83" s="1" t="s">
        <v>89</v>
      </c>
      <c r="J83" t="s">
        <v>256</v>
      </c>
      <c r="K83" s="1">
        <f>IF(G83=5,E83*20%,IF(G83=4,E83*15%,IF(G83=3,E83*10%,IF(G83=2,E83*5%,))))</f>
        <v>9229.9</v>
      </c>
      <c r="L83" s="4">
        <f>E83+K83</f>
        <v>101528.9</v>
      </c>
      <c r="M83" s="1">
        <f>YEAR(Sheet1[[#This Row],[Date of Joining]])</f>
        <v>2015</v>
      </c>
      <c r="N83" s="1">
        <f>MONTH(Sheet1[[#This Row],[Date of Joining]])</f>
        <v>8</v>
      </c>
      <c r="O83" s="1">
        <f ca="1">DATEDIF(F83,TODAY(),"Y")</f>
        <v>10</v>
      </c>
      <c r="P83" s="14">
        <f ca="1">NOW()</f>
        <v>46155.728605324075</v>
      </c>
    </row>
    <row r="84" spans="1:16" x14ac:dyDescent="0.25">
      <c r="A84" s="1" t="s">
        <v>54</v>
      </c>
      <c r="B84" s="1" t="s">
        <v>10</v>
      </c>
      <c r="C84" s="1" t="s">
        <v>33</v>
      </c>
      <c r="D84" s="1" t="s">
        <v>12</v>
      </c>
      <c r="E84" s="4">
        <v>92443</v>
      </c>
      <c r="F84" s="2">
        <v>42113</v>
      </c>
      <c r="G84">
        <v>3</v>
      </c>
      <c r="H84" s="1" t="s">
        <v>18</v>
      </c>
      <c r="I84" s="1" t="s">
        <v>55</v>
      </c>
      <c r="J84" t="s">
        <v>256</v>
      </c>
      <c r="K84" s="1">
        <f>IF(G84=5,E84*20%,IF(G84=4,E84*15%,IF(G84=3,E84*10%,IF(G84=2,E84*5%,))))</f>
        <v>9244.3000000000011</v>
      </c>
      <c r="L84" s="4">
        <f>E84+K84</f>
        <v>101687.3</v>
      </c>
      <c r="M84" s="1">
        <f>YEAR(Sheet1[[#This Row],[Date of Joining]])</f>
        <v>2015</v>
      </c>
      <c r="N84" s="1">
        <f>MONTH(Sheet1[[#This Row],[Date of Joining]])</f>
        <v>4</v>
      </c>
      <c r="O84" s="1">
        <f ca="1">DATEDIF(F84,TODAY(),"Y")</f>
        <v>11</v>
      </c>
      <c r="P84" s="14">
        <f ca="1">NOW()</f>
        <v>46155.728605324075</v>
      </c>
    </row>
    <row r="85" spans="1:16" x14ac:dyDescent="0.25">
      <c r="A85" s="1" t="s">
        <v>130</v>
      </c>
      <c r="B85" s="1" t="s">
        <v>46</v>
      </c>
      <c r="C85" s="1" t="s">
        <v>38</v>
      </c>
      <c r="D85" s="1" t="s">
        <v>12</v>
      </c>
      <c r="E85" s="4">
        <v>84924</v>
      </c>
      <c r="F85" s="2">
        <v>42414</v>
      </c>
      <c r="G85">
        <v>5</v>
      </c>
      <c r="H85" s="1" t="s">
        <v>27</v>
      </c>
      <c r="I85" s="1" t="s">
        <v>131</v>
      </c>
      <c r="J85" t="s">
        <v>257</v>
      </c>
      <c r="K85" s="1">
        <f>IF(G85=5,E85*20%,IF(G85=4,E85*15%,IF(G85=3,E85*10%,IF(G85=2,E85*5%,))))</f>
        <v>16984.8</v>
      </c>
      <c r="L85" s="4">
        <f>E85+K85</f>
        <v>101908.8</v>
      </c>
      <c r="M85" s="1">
        <f>YEAR(Sheet1[[#This Row],[Date of Joining]])</f>
        <v>2016</v>
      </c>
      <c r="N85" s="1">
        <f>MONTH(Sheet1[[#This Row],[Date of Joining]])</f>
        <v>2</v>
      </c>
      <c r="O85" s="1">
        <f ca="1">DATEDIF(F85,TODAY(),"Y")</f>
        <v>10</v>
      </c>
      <c r="P85" s="14">
        <f ca="1">NOW()</f>
        <v>46155.728605324075</v>
      </c>
    </row>
    <row r="86" spans="1:16" x14ac:dyDescent="0.25">
      <c r="A86" s="1" t="s">
        <v>114</v>
      </c>
      <c r="B86" s="1" t="s">
        <v>37</v>
      </c>
      <c r="C86" s="1" t="s">
        <v>33</v>
      </c>
      <c r="D86" s="1" t="s">
        <v>17</v>
      </c>
      <c r="E86" s="4">
        <v>92701</v>
      </c>
      <c r="F86" s="2">
        <v>42330</v>
      </c>
      <c r="G86">
        <v>3</v>
      </c>
      <c r="H86" s="1" t="s">
        <v>18</v>
      </c>
      <c r="I86" s="1" t="s">
        <v>115</v>
      </c>
      <c r="J86" t="s">
        <v>256</v>
      </c>
      <c r="K86" s="1">
        <f>IF(G86=5,E86*20%,IF(G86=4,E86*15%,IF(G86=3,E86*10%,IF(G86=2,E86*5%,))))</f>
        <v>9270.1</v>
      </c>
      <c r="L86" s="4">
        <f>E86+K86</f>
        <v>101971.1</v>
      </c>
      <c r="M86" s="1">
        <f>YEAR(Sheet1[[#This Row],[Date of Joining]])</f>
        <v>2015</v>
      </c>
      <c r="N86" s="1">
        <f>MONTH(Sheet1[[#This Row],[Date of Joining]])</f>
        <v>11</v>
      </c>
      <c r="O86" s="1">
        <f ca="1">DATEDIF(F86,TODAY(),"Y")</f>
        <v>10</v>
      </c>
      <c r="P86" s="14">
        <f ca="1">NOW()</f>
        <v>46155.728605324075</v>
      </c>
    </row>
    <row r="87" spans="1:16" x14ac:dyDescent="0.25">
      <c r="A87" s="1" t="s">
        <v>200</v>
      </c>
      <c r="B87" s="1" t="s">
        <v>37</v>
      </c>
      <c r="C87" s="1" t="s">
        <v>25</v>
      </c>
      <c r="D87" s="1" t="s">
        <v>12</v>
      </c>
      <c r="E87" s="4">
        <v>95032</v>
      </c>
      <c r="F87" s="2">
        <v>42834</v>
      </c>
      <c r="G87">
        <v>3</v>
      </c>
      <c r="H87" s="1" t="s">
        <v>10</v>
      </c>
      <c r="I87" s="1" t="s">
        <v>201</v>
      </c>
      <c r="J87" t="s">
        <v>256</v>
      </c>
      <c r="K87" s="1">
        <f>IF(G87=5,E87*20%,IF(G87=4,E87*15%,IF(G87=3,E87*10%,IF(G87=2,E87*5%,))))</f>
        <v>9503.2000000000007</v>
      </c>
      <c r="L87" s="4">
        <f>E87+K87</f>
        <v>104535.2</v>
      </c>
      <c r="M87" s="1">
        <f>YEAR(Sheet1[[#This Row],[Date of Joining]])</f>
        <v>2017</v>
      </c>
      <c r="N87" s="1">
        <f>MONTH(Sheet1[[#This Row],[Date of Joining]])</f>
        <v>4</v>
      </c>
      <c r="O87" s="1">
        <f ca="1">DATEDIF(F87,TODAY(),"Y")</f>
        <v>9</v>
      </c>
      <c r="P87" s="14">
        <f ca="1">NOW()</f>
        <v>46155.728605324075</v>
      </c>
    </row>
    <row r="88" spans="1:16" x14ac:dyDescent="0.25">
      <c r="A88" s="1" t="s">
        <v>92</v>
      </c>
      <c r="B88" s="1" t="s">
        <v>37</v>
      </c>
      <c r="C88" s="1" t="s">
        <v>38</v>
      </c>
      <c r="D88" s="1" t="s">
        <v>26</v>
      </c>
      <c r="E88" s="4">
        <v>95367</v>
      </c>
      <c r="F88" s="2">
        <v>42239</v>
      </c>
      <c r="G88">
        <v>3</v>
      </c>
      <c r="H88" s="1" t="s">
        <v>27</v>
      </c>
      <c r="I88" s="1" t="s">
        <v>93</v>
      </c>
      <c r="J88" t="s">
        <v>256</v>
      </c>
      <c r="K88" s="1">
        <f>IF(G88=5,E88*20%,IF(G88=4,E88*15%,IF(G88=3,E88*10%,IF(G88=2,E88*5%,))))</f>
        <v>9536.7000000000007</v>
      </c>
      <c r="L88" s="4">
        <f>E88+K88</f>
        <v>104903.7</v>
      </c>
      <c r="M88" s="1">
        <f>YEAR(Sheet1[[#This Row],[Date of Joining]])</f>
        <v>2015</v>
      </c>
      <c r="N88" s="1">
        <f>MONTH(Sheet1[[#This Row],[Date of Joining]])</f>
        <v>8</v>
      </c>
      <c r="O88" s="1">
        <f ca="1">DATEDIF(F88,TODAY(),"Y")</f>
        <v>10</v>
      </c>
      <c r="P88" s="14">
        <f ca="1">NOW()</f>
        <v>46155.728605324075</v>
      </c>
    </row>
    <row r="89" spans="1:16" x14ac:dyDescent="0.25">
      <c r="A89" s="1" t="s">
        <v>90</v>
      </c>
      <c r="B89" s="1" t="s">
        <v>46</v>
      </c>
      <c r="C89" s="1" t="s">
        <v>16</v>
      </c>
      <c r="D89" s="1" t="s">
        <v>12</v>
      </c>
      <c r="E89" s="4">
        <v>95586</v>
      </c>
      <c r="F89" s="2">
        <v>42232</v>
      </c>
      <c r="G89">
        <v>3</v>
      </c>
      <c r="H89" s="1" t="s">
        <v>18</v>
      </c>
      <c r="I89" s="1" t="s">
        <v>91</v>
      </c>
      <c r="J89" t="s">
        <v>256</v>
      </c>
      <c r="K89" s="1">
        <f>IF(G89=5,E89*20%,IF(G89=4,E89*15%,IF(G89=3,E89*10%,IF(G89=2,E89*5%,))))</f>
        <v>9558.6</v>
      </c>
      <c r="L89" s="4">
        <f>E89+K89</f>
        <v>105144.6</v>
      </c>
      <c r="M89" s="1">
        <f>YEAR(Sheet1[[#This Row],[Date of Joining]])</f>
        <v>2015</v>
      </c>
      <c r="N89" s="1">
        <f>MONTH(Sheet1[[#This Row],[Date of Joining]])</f>
        <v>8</v>
      </c>
      <c r="O89" s="1">
        <f ca="1">DATEDIF(F89,TODAY(),"Y")</f>
        <v>10</v>
      </c>
      <c r="P89" s="14">
        <f ca="1">NOW()</f>
        <v>46155.728605324075</v>
      </c>
    </row>
    <row r="90" spans="1:16" x14ac:dyDescent="0.25">
      <c r="A90" s="1" t="s">
        <v>158</v>
      </c>
      <c r="B90" s="1" t="s">
        <v>30</v>
      </c>
      <c r="C90" s="1" t="s">
        <v>25</v>
      </c>
      <c r="D90" s="1" t="s">
        <v>26</v>
      </c>
      <c r="E90" s="4">
        <v>95621</v>
      </c>
      <c r="F90" s="2">
        <v>42575</v>
      </c>
      <c r="G90">
        <v>3</v>
      </c>
      <c r="H90" s="1" t="s">
        <v>34</v>
      </c>
      <c r="I90" s="1" t="s">
        <v>159</v>
      </c>
      <c r="J90" t="s">
        <v>256</v>
      </c>
      <c r="K90" s="1">
        <f>IF(G90=5,E90*20%,IF(G90=4,E90*15%,IF(G90=3,E90*10%,IF(G90=2,E90*5%,))))</f>
        <v>9562.1</v>
      </c>
      <c r="L90" s="4">
        <f>E90+K90</f>
        <v>105183.1</v>
      </c>
      <c r="M90" s="1">
        <f>YEAR(Sheet1[[#This Row],[Date of Joining]])</f>
        <v>2016</v>
      </c>
      <c r="N90" s="1">
        <f>MONTH(Sheet1[[#This Row],[Date of Joining]])</f>
        <v>7</v>
      </c>
      <c r="O90" s="1">
        <f ca="1">DATEDIF(F90,TODAY(),"Y")</f>
        <v>9</v>
      </c>
      <c r="P90" s="14">
        <f ca="1">NOW()</f>
        <v>46155.728605324075</v>
      </c>
    </row>
    <row r="91" spans="1:16" x14ac:dyDescent="0.25">
      <c r="A91" s="1" t="s">
        <v>174</v>
      </c>
      <c r="B91" s="1" t="s">
        <v>21</v>
      </c>
      <c r="C91" s="1" t="s">
        <v>11</v>
      </c>
      <c r="D91" s="1" t="s">
        <v>60</v>
      </c>
      <c r="E91" s="4">
        <v>96101</v>
      </c>
      <c r="F91" s="2">
        <v>42673</v>
      </c>
      <c r="G91">
        <v>3</v>
      </c>
      <c r="H91" s="1" t="s">
        <v>18</v>
      </c>
      <c r="I91" s="1" t="s">
        <v>175</v>
      </c>
      <c r="J91" t="s">
        <v>256</v>
      </c>
      <c r="K91" s="1">
        <f>IF(G91=5,E91*20%,IF(G91=4,E91*15%,IF(G91=3,E91*10%,IF(G91=2,E91*5%,))))</f>
        <v>9610.1</v>
      </c>
      <c r="L91" s="4">
        <f>E91+K91</f>
        <v>105711.1</v>
      </c>
      <c r="M91" s="1">
        <f>YEAR(Sheet1[[#This Row],[Date of Joining]])</f>
        <v>2016</v>
      </c>
      <c r="N91" s="1">
        <f>MONTH(Sheet1[[#This Row],[Date of Joining]])</f>
        <v>10</v>
      </c>
      <c r="O91" s="1">
        <f ca="1">DATEDIF(F91,TODAY(),"Y")</f>
        <v>9</v>
      </c>
      <c r="P91" s="14">
        <f ca="1">NOW()</f>
        <v>46155.728605324075</v>
      </c>
    </row>
    <row r="92" spans="1:16" x14ac:dyDescent="0.25">
      <c r="A92" s="1" t="s">
        <v>142</v>
      </c>
      <c r="B92" s="1" t="s">
        <v>46</v>
      </c>
      <c r="C92" s="1" t="s">
        <v>38</v>
      </c>
      <c r="D92" s="1" t="s">
        <v>60</v>
      </c>
      <c r="E92" s="4">
        <v>96365</v>
      </c>
      <c r="F92" s="2">
        <v>42470</v>
      </c>
      <c r="G92">
        <v>3</v>
      </c>
      <c r="H92" s="1" t="s">
        <v>18</v>
      </c>
      <c r="I92" s="1" t="s">
        <v>143</v>
      </c>
      <c r="J92" t="s">
        <v>256</v>
      </c>
      <c r="K92" s="1">
        <f>IF(G92=5,E92*20%,IF(G92=4,E92*15%,IF(G92=3,E92*10%,IF(G92=2,E92*5%,))))</f>
        <v>9636.5</v>
      </c>
      <c r="L92" s="4">
        <f>E92+K92</f>
        <v>106001.5</v>
      </c>
      <c r="M92" s="1">
        <f>YEAR(Sheet1[[#This Row],[Date of Joining]])</f>
        <v>2016</v>
      </c>
      <c r="N92" s="1">
        <f>MONTH(Sheet1[[#This Row],[Date of Joining]])</f>
        <v>4</v>
      </c>
      <c r="O92" s="1">
        <f ca="1">DATEDIF(F92,TODAY(),"Y")</f>
        <v>10</v>
      </c>
      <c r="P92" s="14">
        <f ca="1">NOW()</f>
        <v>46155.728605324075</v>
      </c>
    </row>
    <row r="93" spans="1:16" x14ac:dyDescent="0.25">
      <c r="A93" s="1" t="s">
        <v>40</v>
      </c>
      <c r="B93" s="1" t="s">
        <v>21</v>
      </c>
      <c r="C93" s="1" t="s">
        <v>33</v>
      </c>
      <c r="D93" s="1" t="s">
        <v>17</v>
      </c>
      <c r="E93" s="4">
        <v>97881</v>
      </c>
      <c r="F93" s="2">
        <v>42064</v>
      </c>
      <c r="G93">
        <v>3</v>
      </c>
      <c r="H93" s="1" t="s">
        <v>34</v>
      </c>
      <c r="I93" s="1" t="s">
        <v>41</v>
      </c>
      <c r="J93" t="s">
        <v>256</v>
      </c>
      <c r="K93" s="1">
        <f>IF(G93=5,E93*20%,IF(G93=4,E93*15%,IF(G93=3,E93*10%,IF(G93=2,E93*5%,))))</f>
        <v>9788.1</v>
      </c>
      <c r="L93" s="4">
        <f>E93+K93</f>
        <v>107669.1</v>
      </c>
      <c r="M93" s="1">
        <f>YEAR(Sheet1[[#This Row],[Date of Joining]])</f>
        <v>2015</v>
      </c>
      <c r="N93" s="1">
        <f>MONTH(Sheet1[[#This Row],[Date of Joining]])</f>
        <v>3</v>
      </c>
      <c r="O93" s="1">
        <f ca="1">DATEDIF(F93,TODAY(),"Y")</f>
        <v>11</v>
      </c>
      <c r="P93" s="14">
        <f ca="1">NOW()</f>
        <v>46155.728605324075</v>
      </c>
    </row>
    <row r="94" spans="1:16" x14ac:dyDescent="0.25">
      <c r="A94" s="1" t="s">
        <v>210</v>
      </c>
      <c r="B94" s="1" t="s">
        <v>24</v>
      </c>
      <c r="C94" s="1" t="s">
        <v>11</v>
      </c>
      <c r="D94" s="1" t="s">
        <v>12</v>
      </c>
      <c r="E94" s="4">
        <v>90019</v>
      </c>
      <c r="F94" s="2">
        <v>42883</v>
      </c>
      <c r="G94">
        <v>5</v>
      </c>
      <c r="H94" s="1" t="s">
        <v>10</v>
      </c>
      <c r="I94" s="1" t="s">
        <v>211</v>
      </c>
      <c r="J94" t="s">
        <v>257</v>
      </c>
      <c r="K94" s="1">
        <f>IF(G94=5,E94*20%,IF(G94=4,E94*15%,IF(G94=3,E94*10%,IF(G94=2,E94*5%,))))</f>
        <v>18003.8</v>
      </c>
      <c r="L94" s="4">
        <f>E94+K94</f>
        <v>108022.8</v>
      </c>
      <c r="M94" s="1">
        <f>YEAR(Sheet1[[#This Row],[Date of Joining]])</f>
        <v>2017</v>
      </c>
      <c r="N94" s="1">
        <f>MONTH(Sheet1[[#This Row],[Date of Joining]])</f>
        <v>5</v>
      </c>
      <c r="O94" s="1">
        <f ca="1">DATEDIF(F94,TODAY(),"Y")</f>
        <v>8</v>
      </c>
      <c r="P94" s="14">
        <f ca="1">NOW()</f>
        <v>46155.728605324075</v>
      </c>
    </row>
    <row r="95" spans="1:16" x14ac:dyDescent="0.25">
      <c r="A95" s="1" t="s">
        <v>48</v>
      </c>
      <c r="B95" s="1" t="s">
        <v>46</v>
      </c>
      <c r="C95" s="1" t="s">
        <v>33</v>
      </c>
      <c r="D95" s="1" t="s">
        <v>26</v>
      </c>
      <c r="E95" s="4">
        <v>91180</v>
      </c>
      <c r="F95" s="2">
        <v>42085</v>
      </c>
      <c r="G95">
        <v>5</v>
      </c>
      <c r="H95" s="1" t="s">
        <v>27</v>
      </c>
      <c r="I95" s="1" t="s">
        <v>49</v>
      </c>
      <c r="J95" t="s">
        <v>257</v>
      </c>
      <c r="K95" s="1">
        <f>IF(G95=5,E95*20%,IF(G95=4,E95*15%,IF(G95=3,E95*10%,IF(G95=2,E95*5%,))))</f>
        <v>18236</v>
      </c>
      <c r="L95" s="4">
        <f>E95+K95</f>
        <v>109416</v>
      </c>
      <c r="M95" s="1">
        <f>YEAR(Sheet1[[#This Row],[Date of Joining]])</f>
        <v>2015</v>
      </c>
      <c r="N95" s="1">
        <f>MONTH(Sheet1[[#This Row],[Date of Joining]])</f>
        <v>3</v>
      </c>
      <c r="O95" s="1">
        <f ca="1">DATEDIF(F95,TODAY(),"Y")</f>
        <v>11</v>
      </c>
      <c r="P95" s="14">
        <f ca="1">NOW()</f>
        <v>46155.728605324075</v>
      </c>
    </row>
    <row r="96" spans="1:16" x14ac:dyDescent="0.25">
      <c r="A96" s="1" t="s">
        <v>162</v>
      </c>
      <c r="B96" s="1" t="s">
        <v>46</v>
      </c>
      <c r="C96" s="1" t="s">
        <v>25</v>
      </c>
      <c r="D96" s="1" t="s">
        <v>12</v>
      </c>
      <c r="E96" s="4">
        <v>99621</v>
      </c>
      <c r="F96" s="2">
        <v>42589</v>
      </c>
      <c r="G96">
        <v>3</v>
      </c>
      <c r="H96" s="1" t="s">
        <v>18</v>
      </c>
      <c r="I96" s="1" t="s">
        <v>163</v>
      </c>
      <c r="J96" t="s">
        <v>256</v>
      </c>
      <c r="K96" s="1">
        <f>IF(G96=5,E96*20%,IF(G96=4,E96*15%,IF(G96=3,E96*10%,IF(G96=2,E96*5%,))))</f>
        <v>9962.1</v>
      </c>
      <c r="L96" s="4">
        <f>E96+K96</f>
        <v>109583.1</v>
      </c>
      <c r="M96" s="1">
        <f>YEAR(Sheet1[[#This Row],[Date of Joining]])</f>
        <v>2016</v>
      </c>
      <c r="N96" s="1">
        <f>MONTH(Sheet1[[#This Row],[Date of Joining]])</f>
        <v>8</v>
      </c>
      <c r="O96" s="1">
        <f ca="1">DATEDIF(F96,TODAY(),"Y")</f>
        <v>9</v>
      </c>
      <c r="P96" s="14">
        <f ca="1">NOW()</f>
        <v>46155.728605324075</v>
      </c>
    </row>
    <row r="97" spans="1:16" x14ac:dyDescent="0.25">
      <c r="A97" s="1" t="s">
        <v>84</v>
      </c>
      <c r="B97" s="1" t="s">
        <v>57</v>
      </c>
      <c r="C97" s="1" t="s">
        <v>38</v>
      </c>
      <c r="D97" s="1" t="s">
        <v>43</v>
      </c>
      <c r="E97" s="4">
        <v>92959</v>
      </c>
      <c r="F97" s="2">
        <v>42211</v>
      </c>
      <c r="G97">
        <v>5</v>
      </c>
      <c r="H97" s="1" t="s">
        <v>10</v>
      </c>
      <c r="I97" s="1" t="s">
        <v>85</v>
      </c>
      <c r="J97" t="s">
        <v>257</v>
      </c>
      <c r="K97" s="1">
        <f>IF(G97=5,E97*20%,IF(G97=4,E97*15%,IF(G97=3,E97*10%,IF(G97=2,E97*5%,))))</f>
        <v>18591.8</v>
      </c>
      <c r="L97" s="4">
        <f>E97+K97</f>
        <v>111550.8</v>
      </c>
      <c r="M97" s="1">
        <f>YEAR(Sheet1[[#This Row],[Date of Joining]])</f>
        <v>2015</v>
      </c>
      <c r="N97" s="1">
        <f>MONTH(Sheet1[[#This Row],[Date of Joining]])</f>
        <v>7</v>
      </c>
      <c r="O97" s="1">
        <f ca="1">DATEDIF(F97,TODAY(),"Y")</f>
        <v>10</v>
      </c>
      <c r="P97" s="14">
        <f ca="1">NOW()</f>
        <v>46155.728605324075</v>
      </c>
    </row>
    <row r="98" spans="1:16" x14ac:dyDescent="0.25">
      <c r="A98" s="1" t="s">
        <v>68</v>
      </c>
      <c r="B98" s="1" t="s">
        <v>30</v>
      </c>
      <c r="C98" s="1" t="s">
        <v>16</v>
      </c>
      <c r="D98" s="1" t="s">
        <v>12</v>
      </c>
      <c r="E98" s="4">
        <v>98922</v>
      </c>
      <c r="F98" s="2">
        <v>42155</v>
      </c>
      <c r="G98">
        <v>4</v>
      </c>
      <c r="H98" s="1" t="s">
        <v>10</v>
      </c>
      <c r="I98" s="1" t="s">
        <v>69</v>
      </c>
      <c r="J98" t="s">
        <v>258</v>
      </c>
      <c r="K98" s="1">
        <f>IF(G98=5,E98*20%,IF(G98=4,E98*15%,IF(G98=3,E98*10%,IF(G98=2,E98*5%,))))</f>
        <v>14838.3</v>
      </c>
      <c r="L98" s="4">
        <f>E98+K98</f>
        <v>113760.3</v>
      </c>
      <c r="M98" s="1">
        <f>YEAR(Sheet1[[#This Row],[Date of Joining]])</f>
        <v>2015</v>
      </c>
      <c r="N98" s="1">
        <f>MONTH(Sheet1[[#This Row],[Date of Joining]])</f>
        <v>5</v>
      </c>
      <c r="O98" s="1">
        <f ca="1">DATEDIF(F98,TODAY(),"Y")</f>
        <v>10</v>
      </c>
      <c r="P98" s="14">
        <f ca="1">NOW()</f>
        <v>46155.728605324075</v>
      </c>
    </row>
    <row r="99" spans="1:16" x14ac:dyDescent="0.25">
      <c r="A99" s="1" t="s">
        <v>134</v>
      </c>
      <c r="B99" s="1" t="s">
        <v>37</v>
      </c>
      <c r="C99" s="1" t="s">
        <v>33</v>
      </c>
      <c r="D99" s="1" t="s">
        <v>43</v>
      </c>
      <c r="E99" s="4">
        <v>97981</v>
      </c>
      <c r="F99" s="2">
        <v>42442</v>
      </c>
      <c r="G99">
        <v>5</v>
      </c>
      <c r="H99" s="1" t="s">
        <v>34</v>
      </c>
      <c r="I99" s="1" t="s">
        <v>135</v>
      </c>
      <c r="J99" t="s">
        <v>257</v>
      </c>
      <c r="K99" s="1">
        <f>IF(G99=5,E99*20%,IF(G99=4,E99*15%,IF(G99=3,E99*10%,IF(G99=2,E99*5%,))))</f>
        <v>19596.2</v>
      </c>
      <c r="L99" s="4">
        <f>E99+K99</f>
        <v>117577.2</v>
      </c>
      <c r="M99" s="1">
        <f>YEAR(Sheet1[[#This Row],[Date of Joining]])</f>
        <v>2016</v>
      </c>
      <c r="N99" s="1">
        <f>MONTH(Sheet1[[#This Row],[Date of Joining]])</f>
        <v>3</v>
      </c>
      <c r="O99" s="1">
        <f ca="1">DATEDIF(F99,TODAY(),"Y")</f>
        <v>10</v>
      </c>
      <c r="P99" s="14">
        <f ca="1">NOW()</f>
        <v>46155.728605324075</v>
      </c>
    </row>
    <row r="100" spans="1:16" x14ac:dyDescent="0.25">
      <c r="A100" s="1" t="s">
        <v>226</v>
      </c>
      <c r="B100" s="1" t="s">
        <v>46</v>
      </c>
      <c r="C100" s="1" t="s">
        <v>38</v>
      </c>
      <c r="D100" s="1" t="s">
        <v>12</v>
      </c>
      <c r="E100" s="4">
        <v>98475</v>
      </c>
      <c r="F100" s="2">
        <v>43051</v>
      </c>
      <c r="G100">
        <v>5</v>
      </c>
      <c r="H100" s="1" t="s">
        <v>18</v>
      </c>
      <c r="I100" s="1" t="s">
        <v>227</v>
      </c>
      <c r="J100" t="s">
        <v>257</v>
      </c>
      <c r="K100" s="1">
        <f>IF(G100=5,E100*20%,IF(G100=4,E100*15%,IF(G100=3,E100*10%,IF(G100=2,E100*5%,))))</f>
        <v>19695</v>
      </c>
      <c r="L100" s="4">
        <f>E100+K100</f>
        <v>118170</v>
      </c>
      <c r="M100" s="1">
        <f>YEAR(Sheet1[[#This Row],[Date of Joining]])</f>
        <v>2017</v>
      </c>
      <c r="N100" s="1">
        <f>MONTH(Sheet1[[#This Row],[Date of Joining]])</f>
        <v>11</v>
      </c>
      <c r="O100" s="1">
        <f ca="1">DATEDIF(F100,TODAY(),"Y")</f>
        <v>8</v>
      </c>
      <c r="P100" s="14">
        <f ca="1">NOW()</f>
        <v>46155.728605324075</v>
      </c>
    </row>
  </sheetData>
  <conditionalFormatting sqref="M1:M1048576">
    <cfRule type="containsText" dxfId="20" priority="7" operator="containsText" text="2015">
      <formula>NOT(ISERROR(SEARCH("2015",M1)))</formula>
    </cfRule>
  </conditionalFormatting>
  <conditionalFormatting sqref="H1:H1048576">
    <cfRule type="containsText" dxfId="19" priority="6" operator="containsText" text="Unknown">
      <formula>NOT(ISERROR(SEARCH("Unknown",H1)))</formula>
    </cfRule>
  </conditionalFormatting>
  <conditionalFormatting sqref="C2:C100">
    <cfRule type="containsText" dxfId="18" priority="5" operator="containsText" text="Marketing">
      <formula>NOT(ISERROR(SEARCH("Marketing",C2)))</formula>
    </cfRule>
  </conditionalFormatting>
  <conditionalFormatting sqref="J1">
    <cfRule type="containsText" dxfId="3" priority="4" operator="containsText" text="Poor Performer">
      <formula>NOT(ISERROR(SEARCH("Poor Performer",J1)))</formula>
    </cfRule>
  </conditionalFormatting>
  <conditionalFormatting sqref="J1:J1048576">
    <cfRule type="containsText" dxfId="2" priority="3" operator="containsText" text="Poor Performer">
      <formula>NOT(ISERROR(SEARCH("Poor Performer",J1)))</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2EBCFE7-AAED-43B9-9D00-FC68668876C8}">
  <ds:schemaRefs/>
</ds:datastoreItem>
</file>

<file path=customXml/itemProps2.xml><?xml version="1.0" encoding="utf-8"?>
<ds:datastoreItem xmlns:ds="http://schemas.openxmlformats.org/officeDocument/2006/customXml" ds:itemID="{D82A8423-4B58-4269-BE78-ADE641A66268}">
  <ds:schemaRefs/>
</ds:datastoreItem>
</file>

<file path=customXml/itemProps3.xml><?xml version="1.0" encoding="utf-8"?>
<ds:datastoreItem xmlns:ds="http://schemas.openxmlformats.org/officeDocument/2006/customXml" ds:itemID="{703C73F8-F5A3-440B-BFF0-96417C2BD322}">
  <ds:schemaRefs/>
</ds:datastoreItem>
</file>

<file path=customXml/itemProps4.xml><?xml version="1.0" encoding="utf-8"?>
<ds:datastoreItem xmlns:ds="http://schemas.openxmlformats.org/officeDocument/2006/customXml" ds:itemID="{8B45EB3D-C2A2-4086-A772-EBD688EB07A2}">
  <ds:schemaRefs/>
</ds:datastoreItem>
</file>

<file path=customXml/itemProps5.xml><?xml version="1.0" encoding="utf-8"?>
<ds:datastoreItem xmlns:ds="http://schemas.openxmlformats.org/officeDocument/2006/customXml" ds:itemID="{F5E132DF-DF94-4993-8D51-87EE5B6A6E7F}">
  <ds:schemaRefs/>
</ds:datastoreItem>
</file>

<file path=customXml/itemProps6.xml><?xml version="1.0" encoding="utf-8"?>
<ds:datastoreItem xmlns:ds="http://schemas.openxmlformats.org/officeDocument/2006/customXml" ds:itemID="{B6FCBD7B-0B6C-48DA-97D5-77E7652560C7}">
  <ds:schemaRefs/>
</ds:datastoreItem>
</file>

<file path=customXml/itemProps7.xml><?xml version="1.0" encoding="utf-8"?>
<ds:datastoreItem xmlns:ds="http://schemas.openxmlformats.org/officeDocument/2006/customXml" ds:itemID="{CAA3916A-6096-4349-A832-C95F783BB492}">
  <ds:schemaRefs/>
</ds:datastoreItem>
</file>

<file path=customXml/itemProps8.xml><?xml version="1.0" encoding="utf-8"?>
<ds:datastoreItem xmlns:ds="http://schemas.openxmlformats.org/officeDocument/2006/customXml" ds:itemID="{CF0432DC-6AFA-406E-BF91-422CF4B90349}">
  <ds:schemaRefs/>
</ds:datastoreItem>
</file>

<file path=customXml/itemProps9.xml><?xml version="1.0" encoding="utf-8"?>
<ds:datastoreItem xmlns:ds="http://schemas.openxmlformats.org/officeDocument/2006/customXml" ds:itemID="{D89A7ADF-FC4F-4A3A-911B-ED99FCAE1F47}">
  <ds:schemaRefs/>
</ds:datastoreItem>
</file>

<file path=customXml/itemProps10.xml><?xml version="1.0" encoding="utf-8"?>
<ds:datastoreItem xmlns:ds="http://schemas.openxmlformats.org/officeDocument/2006/customXml" ds:itemID="{45A2D6FD-DD3B-4A54-AC05-2269B9A35A0B}">
  <ds:schemaRefs/>
</ds:datastoreItem>
</file>

<file path=customXml/itemProps11.xml><?xml version="1.0" encoding="utf-8"?>
<ds:datastoreItem xmlns:ds="http://schemas.openxmlformats.org/officeDocument/2006/customXml" ds:itemID="{93B4ED34-CA4F-4595-B96A-D4C989E6CC0F}">
  <ds:schemaRefs/>
</ds:datastoreItem>
</file>

<file path=customXml/itemProps12.xml><?xml version="1.0" encoding="utf-8"?>
<ds:datastoreItem xmlns:ds="http://schemas.openxmlformats.org/officeDocument/2006/customXml" ds:itemID="{EF5072B7-6467-4311-8F0B-93843DA234EB}">
  <ds:schemaRefs>
    <ds:schemaRef ds:uri="http://schemas.microsoft.com/DataMashup"/>
  </ds:schemaRefs>
</ds:datastoreItem>
</file>

<file path=customXml/itemProps13.xml><?xml version="1.0" encoding="utf-8"?>
<ds:datastoreItem xmlns:ds="http://schemas.openxmlformats.org/officeDocument/2006/customXml" ds:itemID="{57B25BA5-F9B4-4E0A-ABB8-02C8CCF16C9E}">
  <ds:schemaRefs/>
</ds:datastoreItem>
</file>

<file path=customXml/itemProps14.xml><?xml version="1.0" encoding="utf-8"?>
<ds:datastoreItem xmlns:ds="http://schemas.openxmlformats.org/officeDocument/2006/customXml" ds:itemID="{B2505230-CAB2-478F-9F88-407AA195D6DC}">
  <ds:schemaRefs/>
</ds:datastoreItem>
</file>

<file path=customXml/itemProps15.xml><?xml version="1.0" encoding="utf-8"?>
<ds:datastoreItem xmlns:ds="http://schemas.openxmlformats.org/officeDocument/2006/customXml" ds:itemID="{B3825D18-29BD-4332-ACBB-266A3EDBED29}">
  <ds:schemaRefs/>
</ds:datastoreItem>
</file>

<file path=customXml/itemProps16.xml><?xml version="1.0" encoding="utf-8"?>
<ds:datastoreItem xmlns:ds="http://schemas.openxmlformats.org/officeDocument/2006/customXml" ds:itemID="{8100FB89-2320-4667-A430-94BC034D490B}">
  <ds:schemaRefs/>
</ds:datastoreItem>
</file>

<file path=customXml/itemProps17.xml><?xml version="1.0" encoding="utf-8"?>
<ds:datastoreItem xmlns:ds="http://schemas.openxmlformats.org/officeDocument/2006/customXml" ds:itemID="{8C14E5A5-A3D0-421A-B9DC-27C3B3DDD6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Descriptive analysis</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2026-05-13T06:56:17Z</dcterms:created>
  <dcterms:modified xsi:type="dcterms:W3CDTF">2026-05-13T11:59:12Z</dcterms:modified>
</cp:coreProperties>
</file>